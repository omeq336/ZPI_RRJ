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<sst xmlns="http://schemas.openxmlformats.org/spreadsheetml/2006/main" count="206" uniqueCount="81">
  <si>
    <t>Organizacja Test &amp; Test plan finansowy dla sprzedaży licencji aplikacji GUARDIAN-AI</t>
  </si>
  <si>
    <t>Ilość sprzedanych aplikacji w sprzedaży bezpośredniej</t>
  </si>
  <si>
    <t>KURS</t>
  </si>
  <si>
    <t>ZŁ</t>
  </si>
  <si>
    <t>USD</t>
  </si>
  <si>
    <t>Miesiąć</t>
  </si>
  <si>
    <t>Ilość zakupów</t>
  </si>
  <si>
    <t>Wdrożenie w ZŁ</t>
  </si>
  <si>
    <t>Wdrożenie w USD</t>
  </si>
  <si>
    <t>Maintenance w ZŁ</t>
  </si>
  <si>
    <t>Maintenance w USD</t>
  </si>
  <si>
    <t>Przychód na miesiąc w ZŁ</t>
  </si>
  <si>
    <t>Przychód na miesiąc w USD</t>
  </si>
  <si>
    <t>Koszty miesieczne I rok projektu</t>
  </si>
  <si>
    <t>Lp.</t>
  </si>
  <si>
    <t>nazwa</t>
  </si>
  <si>
    <t>Ilość</t>
  </si>
  <si>
    <t>kwota brutto za 1 szt</t>
  </si>
  <si>
    <t>Kwota brutto razem</t>
  </si>
  <si>
    <t>Uwagi</t>
  </si>
  <si>
    <t>API</t>
  </si>
  <si>
    <t>To są otwarte dane</t>
  </si>
  <si>
    <t>Wynagrodznie programista backend</t>
  </si>
  <si>
    <t>Rozkładamy na comiesięczne rozliczanie z programistami</t>
  </si>
  <si>
    <t>Wynagrodznie programista frontend</t>
  </si>
  <si>
    <t>Płatność junioram</t>
  </si>
  <si>
    <t>Wynagrodznie programista ML</t>
  </si>
  <si>
    <t>Płatność doświadczonym ML programistam.</t>
  </si>
  <si>
    <t>Średnia cena za produkt</t>
  </si>
  <si>
    <t>Wynagrodznie tester</t>
  </si>
  <si>
    <t>Płatność na zlecenie</t>
  </si>
  <si>
    <t>średni zysk z użytkownika za wdrożenie systemu</t>
  </si>
  <si>
    <t>Wynagrodznie cybersecurity</t>
  </si>
  <si>
    <t>Koszt z ZUS</t>
  </si>
  <si>
    <t>średni zysk z użytkownika za obsługę techniczną na miesiąc</t>
  </si>
  <si>
    <t>Wynagrodzenie Data Engineering</t>
  </si>
  <si>
    <t>Wynagrodzenie DevOps</t>
  </si>
  <si>
    <t>Wynagrodzenie Naukowca</t>
  </si>
  <si>
    <t>Wynagrodzenie Prawnik</t>
  </si>
  <si>
    <t>Wynagrodzenie kierowników grup</t>
  </si>
  <si>
    <t>Abonament światłowodowy</t>
  </si>
  <si>
    <t xml:space="preserve">Dobry abonament dla dobrego zasięgu </t>
  </si>
  <si>
    <t>Licencja na zarządzanie bazą dannych</t>
  </si>
  <si>
    <t>Współpracujemy z systemem zarządzania bazą dannych</t>
  </si>
  <si>
    <t>Licencja na środowisko chmurowe</t>
  </si>
  <si>
    <t>Backups</t>
  </si>
  <si>
    <t>Wynagrodzenie Marketingowiec i PR</t>
  </si>
  <si>
    <t>koszt z ZUS</t>
  </si>
  <si>
    <t>Księgowowość</t>
  </si>
  <si>
    <t>Serwery</t>
  </si>
  <si>
    <t>3 na dane, 3 na kolejke zdarzen, 4 na AI, 2 na monitoring, 1 na srodowisko testowe, serwer kopii 1</t>
  </si>
  <si>
    <t>Marketing i reklama</t>
  </si>
  <si>
    <t>Wynajem biura</t>
  </si>
  <si>
    <t>Biuro w Olsztynie oraz Warszawie</t>
  </si>
  <si>
    <t>Inne</t>
  </si>
  <si>
    <t>Kawa, herbata, prąd, materiały biurowe, tonnery do drukarek, papier, znaczki, paczki itp.</t>
  </si>
  <si>
    <t>Razem</t>
  </si>
  <si>
    <t>Koszty miesieczne II rok projektu</t>
  </si>
  <si>
    <t>bezpłatne</t>
  </si>
  <si>
    <t>bezpłątne</t>
  </si>
  <si>
    <t>5 na dane, 4 na kolejke zdarzen, 4 na AI, 3 na monitoring, 2 na srodowisko testowe, serwer kopii 1</t>
  </si>
  <si>
    <t>Koszty miesieczne III rok projektu</t>
  </si>
  <si>
    <t>11 na dane, 7 na kolejke zdarzen, 5 na AI, 3 na monitoring, 2 na srodowisko testowe, serwer kopii 2</t>
  </si>
  <si>
    <t>Biuro w Olsztynie oraz Warszawie i Gdańsku</t>
  </si>
  <si>
    <t>Koszty jednorazowe I rok projektu</t>
  </si>
  <si>
    <t>Komputery z silnym GPU</t>
  </si>
  <si>
    <t>Dostęp swiatlowodowy</t>
  </si>
  <si>
    <t>Stanowiska komputerowe dla programowania</t>
  </si>
  <si>
    <t>Pozostałe rzeczy wyposażenia biura</t>
  </si>
  <si>
    <t>Koszty jednorazowe II rok projektu</t>
  </si>
  <si>
    <t>Gry</t>
  </si>
  <si>
    <t>Koszty jednorazowe III rok projektu</t>
  </si>
  <si>
    <t>Aktualizacja lub wymiana sprzętu komputerowego</t>
  </si>
  <si>
    <t>Cashflow</t>
  </si>
  <si>
    <t>Miesiąc</t>
  </si>
  <si>
    <t>Łączna ilość sprzedanych aplikacji</t>
  </si>
  <si>
    <t>Przychód brutto</t>
  </si>
  <si>
    <t>Koszt miesieczny</t>
  </si>
  <si>
    <t>Koszt jednorazowy</t>
  </si>
  <si>
    <t>Bilans zysku w miesiącu</t>
  </si>
  <si>
    <t>Bilans razem (zysk łączny)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</si>
</sst>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]#,##0.00"/>
    <numFmt numFmtId="165" formatCode="#,##0&quot;zł&quot;"/>
    <numFmt numFmtId="166" formatCode="#,##0.00&quot;zł&quot;"/>
    <numFmt numFmtId="167" formatCode="#,##0.00\ [$zł-415]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b/>
      <sz val="26.0"/>
      <color rgb="FF000000"/>
      <name val="Calibri"/>
    </font>
    <font>
      <b/>
      <sz val="16.0"/>
      <color rgb="FF000000"/>
      <name val="Calibri"/>
    </font>
    <font/>
    <font>
      <b/>
      <sz val="11.0"/>
      <color rgb="FF000000"/>
      <name val="Calibri"/>
    </font>
    <font>
      <color theme="1"/>
      <name val="Arial"/>
      <scheme val="minor"/>
    </font>
    <font>
      <b/>
      <sz val="20.0"/>
      <color rgb="FF000000"/>
      <name val="Calibri"/>
    </font>
    <font>
      <b/>
      <sz val="11.0"/>
      <color rgb="FFFF0000"/>
      <name val="Calibri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rgb="FFFCD5B4"/>
        <bgColor rgb="FFFCD5B4"/>
      </patternFill>
    </fill>
    <fill>
      <patternFill patternType="solid">
        <fgColor rgb="FFF2DBDA"/>
        <bgColor rgb="FFF2DBDA"/>
      </patternFill>
    </fill>
    <fill>
      <patternFill patternType="solid">
        <fgColor rgb="FFCC0000"/>
        <bgColor rgb="FFCC0000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92D050"/>
        <bgColor rgb="FF92D050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wrapText="0"/>
    </xf>
    <xf borderId="1" fillId="3" fontId="3" numFmtId="0" xfId="0" applyAlignment="1" applyBorder="1" applyFill="1" applyFont="1">
      <alignment horizontal="center" readingOrder="0" shrinkToFit="0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left"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165" xfId="0" applyAlignment="1" applyFont="1" applyNumberFormat="1">
      <alignment readingOrder="0" shrinkToFit="0" wrapText="0"/>
    </xf>
    <xf borderId="0" fillId="0" fontId="1" numFmtId="0" xfId="0" applyAlignment="1" applyFont="1">
      <alignment shrinkToFit="0" wrapText="0"/>
    </xf>
    <xf borderId="4" fillId="4" fontId="5" numFmtId="0" xfId="0" applyAlignment="1" applyBorder="1" applyFill="1" applyFont="1">
      <alignment horizontal="center" readingOrder="0"/>
    </xf>
    <xf borderId="4" fillId="4" fontId="6" numFmtId="0" xfId="0" applyAlignment="1" applyBorder="1" applyFont="1">
      <alignment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0"/>
    </xf>
    <xf borderId="4" fillId="2" fontId="1" numFmtId="0" xfId="0" applyAlignment="1" applyBorder="1" applyFont="1">
      <alignment readingOrder="0" shrinkToFit="0" wrapText="0"/>
    </xf>
    <xf borderId="4" fillId="0" fontId="1" numFmtId="0" xfId="0" applyAlignment="1" applyBorder="1" applyFont="1">
      <alignment readingOrder="0" shrinkToFit="0" wrapText="0"/>
    </xf>
    <xf borderId="4" fillId="0" fontId="6" numFmtId="166" xfId="0" applyBorder="1" applyFont="1" applyNumberFormat="1"/>
    <xf borderId="4" fillId="0" fontId="6" numFmtId="164" xfId="0" applyBorder="1" applyFont="1" applyNumberFormat="1"/>
    <xf borderId="4" fillId="0" fontId="6" numFmtId="0" xfId="0" applyBorder="1" applyFont="1"/>
    <xf borderId="4" fillId="0" fontId="6" numFmtId="167" xfId="0" applyBorder="1" applyFont="1" applyNumberFormat="1"/>
    <xf borderId="4" fillId="0" fontId="6" numFmtId="164" xfId="0" applyBorder="1" applyFont="1" applyNumberFormat="1"/>
    <xf borderId="5" fillId="0" fontId="1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readingOrder="0" shrinkToFit="0" wrapText="0"/>
    </xf>
    <xf borderId="4" fillId="0" fontId="1" numFmtId="167" xfId="0" applyAlignment="1" applyBorder="1" applyFont="1" applyNumberFormat="1">
      <alignment readingOrder="0" shrinkToFit="0" wrapText="0"/>
    </xf>
    <xf borderId="4" fillId="0" fontId="1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left" readingOrder="0" shrinkToFit="0" wrapText="0"/>
    </xf>
    <xf borderId="4" fillId="0" fontId="1" numFmtId="164" xfId="0" applyAlignment="1" applyBorder="1" applyFont="1" applyNumberFormat="1">
      <alignment readingOrder="0" shrinkToFit="0" wrapText="0"/>
    </xf>
    <xf borderId="4" fillId="0" fontId="1" numFmtId="166" xfId="0" applyAlignment="1" applyBorder="1" applyFont="1" applyNumberFormat="1">
      <alignment readingOrder="0" shrinkToFit="0" wrapText="0"/>
    </xf>
    <xf borderId="1" fillId="0" fontId="5" numFmtId="0" xfId="0" applyAlignment="1" applyBorder="1" applyFont="1">
      <alignment horizontal="left" readingOrder="0"/>
    </xf>
    <xf borderId="4" fillId="0" fontId="1" numFmtId="164" xfId="0" applyAlignment="1" applyBorder="1" applyFont="1" applyNumberFormat="1">
      <alignment readingOrder="0" shrinkToFit="0" wrapText="0"/>
    </xf>
    <xf borderId="4" fillId="0" fontId="1" numFmtId="167" xfId="0" applyAlignment="1" applyBorder="1" applyFont="1" applyNumberFormat="1">
      <alignment readingOrder="0" shrinkToFit="0" wrapText="0"/>
    </xf>
    <xf borderId="4" fillId="0" fontId="6" numFmtId="0" xfId="0" applyAlignment="1" applyBorder="1" applyFont="1">
      <alignment readingOrder="0"/>
    </xf>
    <xf borderId="4" fillId="5" fontId="6" numFmtId="166" xfId="0" applyBorder="1" applyFill="1" applyFont="1" applyNumberFormat="1"/>
    <xf borderId="4" fillId="5" fontId="6" numFmtId="164" xfId="0" applyBorder="1" applyFont="1" applyNumberFormat="1"/>
    <xf borderId="0" fillId="5" fontId="6" numFmtId="166" xfId="0" applyFont="1" applyNumberFormat="1"/>
    <xf borderId="0" fillId="6" fontId="1" numFmtId="167" xfId="0" applyFill="1" applyFont="1" applyNumberFormat="1"/>
    <xf borderId="0" fillId="7" fontId="6" numFmtId="166" xfId="0" applyAlignment="1" applyFill="1" applyFont="1" applyNumberFormat="1">
      <alignment horizontal="center"/>
    </xf>
    <xf borderId="4" fillId="0" fontId="5" numFmtId="167" xfId="0" applyAlignment="1" applyBorder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8" fontId="5" numFmtId="0" xfId="0" applyAlignment="1" applyBorder="1" applyFill="1" applyFont="1">
      <alignment readingOrder="0" shrinkToFit="0" wrapText="0"/>
    </xf>
    <xf borderId="4" fillId="8" fontId="5" numFmtId="167" xfId="0" applyAlignment="1" applyBorder="1" applyFont="1" applyNumberFormat="1">
      <alignment readingOrder="0" shrinkToFit="0" wrapText="0"/>
    </xf>
    <xf borderId="4" fillId="8" fontId="6" numFmtId="167" xfId="0" applyBorder="1" applyFont="1" applyNumberFormat="1"/>
    <xf borderId="4" fillId="8" fontId="6" numFmtId="164" xfId="0" applyBorder="1" applyFont="1" applyNumberFormat="1"/>
    <xf borderId="4" fillId="8" fontId="6" numFmtId="166" xfId="0" applyBorder="1" applyFont="1" applyNumberFormat="1"/>
    <xf borderId="0" fillId="0" fontId="6" numFmtId="0" xfId="0" applyAlignment="1" applyFont="1">
      <alignment readingOrder="0"/>
    </xf>
    <xf borderId="4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vertical="bottom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shrinkToFit="0" vertical="bottom" wrapText="0"/>
    </xf>
    <xf borderId="1" fillId="3" fontId="7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readingOrder="0"/>
    </xf>
    <xf borderId="4" fillId="2" fontId="1" numFmtId="167" xfId="0" applyAlignment="1" applyBorder="1" applyFont="1" applyNumberFormat="1">
      <alignment readingOrder="0" shrinkToFit="0" wrapText="0"/>
    </xf>
    <xf borderId="4" fillId="2" fontId="8" numFmtId="167" xfId="0" applyAlignment="1" applyBorder="1" applyFont="1" applyNumberFormat="1">
      <alignment readingOrder="0" shrinkToFit="0" wrapText="0"/>
    </xf>
    <xf borderId="4" fillId="9" fontId="1" numFmtId="0" xfId="0" applyAlignment="1" applyBorder="1" applyFill="1" applyFont="1">
      <alignment readingOrder="0" shrinkToFit="0" wrapText="0"/>
    </xf>
    <xf borderId="4" fillId="9" fontId="1" numFmtId="166" xfId="0" applyAlignment="1" applyBorder="1" applyFont="1" applyNumberFormat="1">
      <alignment readingOrder="0" shrinkToFit="0" wrapText="0"/>
    </xf>
    <xf borderId="4" fillId="9" fontId="1" numFmtId="167" xfId="0" applyAlignment="1" applyBorder="1" applyFont="1" applyNumberFormat="1">
      <alignment readingOrder="0" shrinkToFit="0" wrapText="0"/>
    </xf>
    <xf borderId="4" fillId="9" fontId="9" numFmtId="166" xfId="0" applyAlignment="1" applyBorder="1" applyFont="1" applyNumberFormat="1">
      <alignment readingOrder="0" shrinkToFit="0" wrapText="0"/>
    </xf>
    <xf borderId="4" fillId="9" fontId="9" numFmtId="167" xfId="0" applyAlignment="1" applyBorder="1" applyFont="1" applyNumberFormat="1">
      <alignment readingOrder="0" shrinkToFit="0" wrapText="0"/>
    </xf>
    <xf borderId="4" fillId="9" fontId="8" numFmtId="166" xfId="0" applyAlignment="1" applyBorder="1" applyFont="1" applyNumberFormat="1">
      <alignment readingOrder="0" shrinkToFit="0" wrapText="0"/>
    </xf>
    <xf borderId="4" fillId="9" fontId="8" numFmtId="167" xfId="0" applyAlignment="1" applyBorder="1" applyFont="1" applyNumberFormat="1">
      <alignment readingOrder="0" shrinkToFit="0" wrapText="0"/>
    </xf>
    <xf borderId="4" fillId="10" fontId="1" numFmtId="0" xfId="0" applyAlignment="1" applyBorder="1" applyFill="1" applyFont="1">
      <alignment readingOrder="0" shrinkToFit="0" wrapText="0"/>
    </xf>
    <xf borderId="4" fillId="10" fontId="1" numFmtId="166" xfId="0" applyAlignment="1" applyBorder="1" applyFont="1" applyNumberFormat="1">
      <alignment readingOrder="0" shrinkToFit="0" wrapText="0"/>
    </xf>
    <xf borderId="4" fillId="10" fontId="1" numFmtId="167" xfId="0" applyAlignment="1" applyBorder="1" applyFont="1" applyNumberFormat="1">
      <alignment readingOrder="0" shrinkToFit="0" wrapText="0"/>
    </xf>
    <xf borderId="4" fillId="10" fontId="9" numFmtId="166" xfId="0" applyAlignment="1" applyBorder="1" applyFont="1" applyNumberFormat="1">
      <alignment readingOrder="0" shrinkToFit="0" wrapText="0"/>
    </xf>
    <xf borderId="4" fillId="10" fontId="9" numFmtId="167" xfId="0" applyAlignment="1" applyBorder="1" applyFont="1" applyNumberFormat="1">
      <alignment readingOrder="0" shrinkToFit="0" wrapText="0"/>
    </xf>
    <xf borderId="6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923925</xdr:colOff>
      <xdr:row>49</xdr:row>
      <xdr:rowOff>76200</xdr:rowOff>
    </xdr:from>
    <xdr:ext cx="4876800" cy="4629150"/>
    <xdr:pic>
      <xdr:nvPicPr>
        <xdr:cNvPr id="0" name="image1.png" title="Obraz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0.38"/>
    <col customWidth="1" min="4" max="4" width="30.88"/>
    <col customWidth="1" min="11" max="11" width="25.25"/>
    <col customWidth="1" min="12" max="12" width="26.38"/>
    <col customWidth="1" min="13" max="13" width="29.5"/>
    <col customWidth="1" min="14" max="14" width="19.88"/>
    <col customWidth="1" min="15" max="15" width="22.63"/>
    <col customWidth="1" min="16" max="16" width="16.25"/>
    <col customWidth="1" min="17" max="17" width="22.0"/>
    <col customWidth="1" min="18" max="18" width="20.5"/>
    <col customWidth="1" min="19" max="19" width="13.63"/>
    <col customWidth="1" min="20" max="20" width="40.0"/>
    <col customWidth="1" min="21" max="21" width="39.25"/>
    <col customWidth="1" min="22" max="22" width="13.75"/>
    <col customWidth="1" min="23" max="23" width="27.13"/>
    <col customWidth="1" min="24" max="24" width="38.63"/>
    <col customWidth="1" min="25" max="25" width="73.38"/>
    <col customWidth="1" min="26" max="27" width="66.5"/>
    <col customWidth="1" min="28" max="28" width="16.0"/>
  </cols>
  <sheetData>
    <row r="2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F3" s="1"/>
      <c r="G3" s="2" t="s">
        <v>0</v>
      </c>
    </row>
    <row r="4"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8">
      <c r="C8" s="4"/>
      <c r="J8" s="5" t="s">
        <v>1</v>
      </c>
      <c r="K8" s="6"/>
      <c r="L8" s="6"/>
      <c r="M8" s="6"/>
      <c r="N8" s="6"/>
      <c r="O8" s="6"/>
      <c r="P8" s="6"/>
      <c r="Q8" s="7"/>
    </row>
    <row r="9">
      <c r="C9" s="8" t="s">
        <v>2</v>
      </c>
      <c r="E9" s="9" t="s">
        <v>3</v>
      </c>
      <c r="F9" s="10" t="s">
        <v>4</v>
      </c>
      <c r="G9" s="11"/>
      <c r="J9" s="12" t="s">
        <v>5</v>
      </c>
      <c r="K9" s="12" t="s">
        <v>6</v>
      </c>
      <c r="L9" s="13" t="s">
        <v>7</v>
      </c>
      <c r="M9" s="13" t="s">
        <v>8</v>
      </c>
      <c r="N9" s="13" t="s">
        <v>9</v>
      </c>
      <c r="O9" s="13" t="s">
        <v>10</v>
      </c>
      <c r="P9" s="13" t="s">
        <v>11</v>
      </c>
      <c r="Q9" s="13" t="s">
        <v>12</v>
      </c>
    </row>
    <row r="10">
      <c r="C10" s="14"/>
      <c r="E10" s="15">
        <v>3.65</v>
      </c>
      <c r="F10" s="15">
        <v>1.0</v>
      </c>
      <c r="G10" s="11"/>
      <c r="J10" s="16">
        <v>1.0</v>
      </c>
      <c r="K10" s="17">
        <v>1.0</v>
      </c>
      <c r="L10" s="18">
        <f t="shared" ref="L10:L45" si="2">$F$19 * K10</f>
        <v>330000</v>
      </c>
      <c r="M10" s="19">
        <f t="shared" ref="M10:M45" si="3">$E$19 * K10</f>
        <v>90410.9589</v>
      </c>
      <c r="N10" s="20"/>
      <c r="O10" s="20"/>
      <c r="P10" s="18">
        <f t="shared" ref="P10:Q10" si="1">L10+N10</f>
        <v>330000</v>
      </c>
      <c r="Q10" s="19">
        <f t="shared" si="1"/>
        <v>90410.9589</v>
      </c>
    </row>
    <row r="11">
      <c r="C11" s="8"/>
      <c r="J11" s="16">
        <v>2.0</v>
      </c>
      <c r="K11" s="17">
        <v>0.0</v>
      </c>
      <c r="L11" s="18">
        <f t="shared" si="2"/>
        <v>0</v>
      </c>
      <c r="M11" s="19">
        <f t="shared" si="3"/>
        <v>0</v>
      </c>
      <c r="N11" s="21">
        <f t="shared" ref="N11:N45" si="5">($F$20 * (SUM($K$10:K10)))</f>
        <v>8000</v>
      </c>
      <c r="O11" s="22">
        <f t="shared" ref="O11:O45" si="6">($E$20 * (SUM($K$10:K10)))</f>
        <v>2191.780822</v>
      </c>
      <c r="P11" s="18">
        <f t="shared" ref="P11:Q11" si="4">L11+N11</f>
        <v>8000</v>
      </c>
      <c r="Q11" s="19">
        <f t="shared" si="4"/>
        <v>2191.780822</v>
      </c>
      <c r="S11" s="1"/>
      <c r="T11" s="1"/>
      <c r="U11" s="1"/>
      <c r="V11" s="1"/>
      <c r="W11" s="1"/>
      <c r="X11" s="1"/>
      <c r="Y11" s="23"/>
    </row>
    <row r="12">
      <c r="C12" s="8"/>
      <c r="J12" s="16">
        <v>3.0</v>
      </c>
      <c r="K12" s="17">
        <v>2.0</v>
      </c>
      <c r="L12" s="18">
        <f t="shared" si="2"/>
        <v>660000</v>
      </c>
      <c r="M12" s="19">
        <f t="shared" si="3"/>
        <v>180821.9178</v>
      </c>
      <c r="N12" s="21">
        <f t="shared" si="5"/>
        <v>8000</v>
      </c>
      <c r="O12" s="22">
        <f t="shared" si="6"/>
        <v>2191.780822</v>
      </c>
      <c r="P12" s="18">
        <f t="shared" ref="P12:Q12" si="7">L12+N12</f>
        <v>668000</v>
      </c>
      <c r="Q12" s="19">
        <f t="shared" si="7"/>
        <v>183013.6986</v>
      </c>
      <c r="S12" s="1"/>
      <c r="T12" s="5" t="s">
        <v>13</v>
      </c>
      <c r="U12" s="6"/>
      <c r="V12" s="6"/>
      <c r="W12" s="6"/>
      <c r="X12" s="6"/>
      <c r="Y12" s="7"/>
    </row>
    <row r="13">
      <c r="C13" s="8"/>
      <c r="J13" s="16">
        <v>4.0</v>
      </c>
      <c r="K13" s="17">
        <v>0.0</v>
      </c>
      <c r="L13" s="18">
        <f t="shared" si="2"/>
        <v>0</v>
      </c>
      <c r="M13" s="19">
        <f t="shared" si="3"/>
        <v>0</v>
      </c>
      <c r="N13" s="21">
        <f t="shared" si="5"/>
        <v>24000</v>
      </c>
      <c r="O13" s="22">
        <f t="shared" si="6"/>
        <v>6575.342466</v>
      </c>
      <c r="P13" s="18">
        <f t="shared" ref="P13:Q13" si="8">L13+N13</f>
        <v>24000</v>
      </c>
      <c r="Q13" s="19">
        <f t="shared" si="8"/>
        <v>6575.342466</v>
      </c>
      <c r="S13" s="1"/>
      <c r="T13" s="12" t="s">
        <v>14</v>
      </c>
      <c r="U13" s="12" t="s">
        <v>15</v>
      </c>
      <c r="V13" s="12" t="s">
        <v>16</v>
      </c>
      <c r="W13" s="12" t="s">
        <v>17</v>
      </c>
      <c r="X13" s="12" t="s">
        <v>18</v>
      </c>
      <c r="Y13" s="12" t="s">
        <v>19</v>
      </c>
    </row>
    <row r="14">
      <c r="J14" s="16">
        <v>5.0</v>
      </c>
      <c r="K14" s="17">
        <v>0.0</v>
      </c>
      <c r="L14" s="18">
        <f t="shared" si="2"/>
        <v>0</v>
      </c>
      <c r="M14" s="19">
        <f t="shared" si="3"/>
        <v>0</v>
      </c>
      <c r="N14" s="21">
        <f t="shared" si="5"/>
        <v>24000</v>
      </c>
      <c r="O14" s="22">
        <f t="shared" si="6"/>
        <v>6575.342466</v>
      </c>
      <c r="P14" s="18">
        <f t="shared" ref="P14:Q14" si="9">L14+N14</f>
        <v>24000</v>
      </c>
      <c r="Q14" s="19">
        <f t="shared" si="9"/>
        <v>6575.342466</v>
      </c>
      <c r="S14" s="1"/>
      <c r="T14" s="24">
        <v>1.0</v>
      </c>
      <c r="U14" s="17" t="s">
        <v>20</v>
      </c>
      <c r="V14" s="17">
        <v>6.0</v>
      </c>
      <c r="W14" s="25">
        <v>0.0</v>
      </c>
      <c r="X14" s="25">
        <v>0.0</v>
      </c>
      <c r="Y14" s="17" t="s">
        <v>21</v>
      </c>
    </row>
    <row r="15">
      <c r="J15" s="16">
        <v>6.0</v>
      </c>
      <c r="K15" s="17">
        <v>3.0</v>
      </c>
      <c r="L15" s="18">
        <f t="shared" si="2"/>
        <v>990000</v>
      </c>
      <c r="M15" s="19">
        <f t="shared" si="3"/>
        <v>271232.8767</v>
      </c>
      <c r="N15" s="21">
        <f t="shared" si="5"/>
        <v>24000</v>
      </c>
      <c r="O15" s="22">
        <f t="shared" si="6"/>
        <v>6575.342466</v>
      </c>
      <c r="P15" s="18">
        <f t="shared" ref="P15:Q15" si="10">L15+N15</f>
        <v>1014000</v>
      </c>
      <c r="Q15" s="19">
        <f t="shared" si="10"/>
        <v>277808.2192</v>
      </c>
      <c r="S15" s="1"/>
      <c r="T15" s="24">
        <v>2.0</v>
      </c>
      <c r="U15" s="17" t="s">
        <v>22</v>
      </c>
      <c r="V15" s="17">
        <v>3.0</v>
      </c>
      <c r="W15" s="25">
        <v>12500.0</v>
      </c>
      <c r="X15" s="25">
        <f t="shared" ref="X15:X33" si="12">W15*V15</f>
        <v>37500</v>
      </c>
      <c r="Y15" s="26" t="s">
        <v>23</v>
      </c>
    </row>
    <row r="16">
      <c r="J16" s="16">
        <v>7.0</v>
      </c>
      <c r="K16" s="17">
        <v>0.0</v>
      </c>
      <c r="L16" s="18">
        <f t="shared" si="2"/>
        <v>0</v>
      </c>
      <c r="M16" s="19">
        <f t="shared" si="3"/>
        <v>0</v>
      </c>
      <c r="N16" s="21">
        <f t="shared" si="5"/>
        <v>48000</v>
      </c>
      <c r="O16" s="22">
        <f t="shared" si="6"/>
        <v>13150.68493</v>
      </c>
      <c r="P16" s="18">
        <f t="shared" ref="P16:Q16" si="11">L16+N16</f>
        <v>48000</v>
      </c>
      <c r="Q16" s="19">
        <f t="shared" si="11"/>
        <v>13150.68493</v>
      </c>
      <c r="S16" s="1"/>
      <c r="T16" s="24">
        <v>3.0</v>
      </c>
      <c r="U16" s="17" t="s">
        <v>24</v>
      </c>
      <c r="V16" s="17">
        <v>2.0</v>
      </c>
      <c r="W16" s="25">
        <v>8000.0</v>
      </c>
      <c r="X16" s="25">
        <f t="shared" si="12"/>
        <v>16000</v>
      </c>
      <c r="Y16" s="17" t="s">
        <v>25</v>
      </c>
    </row>
    <row r="17">
      <c r="J17" s="16">
        <v>8.0</v>
      </c>
      <c r="K17" s="17">
        <v>0.0</v>
      </c>
      <c r="L17" s="18">
        <f t="shared" si="2"/>
        <v>0</v>
      </c>
      <c r="M17" s="19">
        <f t="shared" si="3"/>
        <v>0</v>
      </c>
      <c r="N17" s="21">
        <f t="shared" si="5"/>
        <v>48000</v>
      </c>
      <c r="O17" s="22">
        <f t="shared" si="6"/>
        <v>13150.68493</v>
      </c>
      <c r="P17" s="18">
        <f t="shared" ref="P17:Q17" si="13">L17+N17</f>
        <v>48000</v>
      </c>
      <c r="Q17" s="19">
        <f t="shared" si="13"/>
        <v>13150.68493</v>
      </c>
      <c r="S17" s="1"/>
      <c r="T17" s="24">
        <v>4.0</v>
      </c>
      <c r="U17" s="17" t="s">
        <v>26</v>
      </c>
      <c r="V17" s="17">
        <v>2.0</v>
      </c>
      <c r="W17" s="25">
        <v>17000.0</v>
      </c>
      <c r="X17" s="25">
        <f t="shared" si="12"/>
        <v>34000</v>
      </c>
      <c r="Y17" s="17" t="s">
        <v>27</v>
      </c>
    </row>
    <row r="18">
      <c r="C18" s="5" t="s">
        <v>28</v>
      </c>
      <c r="D18" s="6"/>
      <c r="E18" s="6"/>
      <c r="F18" s="6"/>
      <c r="G18" s="7"/>
      <c r="J18" s="16">
        <v>9.0</v>
      </c>
      <c r="K18" s="17">
        <v>2.0</v>
      </c>
      <c r="L18" s="18">
        <f t="shared" si="2"/>
        <v>660000</v>
      </c>
      <c r="M18" s="19">
        <f t="shared" si="3"/>
        <v>180821.9178</v>
      </c>
      <c r="N18" s="21">
        <f t="shared" si="5"/>
        <v>48000</v>
      </c>
      <c r="O18" s="22">
        <f t="shared" si="6"/>
        <v>13150.68493</v>
      </c>
      <c r="P18" s="18">
        <f t="shared" ref="P18:Q18" si="14">L18+N18</f>
        <v>708000</v>
      </c>
      <c r="Q18" s="19">
        <f t="shared" si="14"/>
        <v>193972.6027</v>
      </c>
      <c r="S18" s="1"/>
      <c r="T18" s="24">
        <v>5.0</v>
      </c>
      <c r="U18" s="17" t="s">
        <v>29</v>
      </c>
      <c r="V18" s="17">
        <v>3.0</v>
      </c>
      <c r="W18" s="25">
        <v>9000.0</v>
      </c>
      <c r="X18" s="25">
        <f t="shared" si="12"/>
        <v>27000</v>
      </c>
      <c r="Y18" s="17" t="s">
        <v>30</v>
      </c>
    </row>
    <row r="19">
      <c r="C19" s="27" t="s">
        <v>31</v>
      </c>
      <c r="D19" s="7"/>
      <c r="E19" s="28">
        <f>F19/E10</f>
        <v>90410.9589</v>
      </c>
      <c r="F19" s="29">
        <v>330000.0</v>
      </c>
      <c r="G19" s="29"/>
      <c r="J19" s="16">
        <v>10.0</v>
      </c>
      <c r="K19" s="17">
        <v>0.0</v>
      </c>
      <c r="L19" s="18">
        <f t="shared" si="2"/>
        <v>0</v>
      </c>
      <c r="M19" s="19">
        <f t="shared" si="3"/>
        <v>0</v>
      </c>
      <c r="N19" s="21">
        <f t="shared" si="5"/>
        <v>64000</v>
      </c>
      <c r="O19" s="22">
        <f t="shared" si="6"/>
        <v>17534.24658</v>
      </c>
      <c r="P19" s="18">
        <f t="shared" ref="P19:Q19" si="15">L19+N19</f>
        <v>64000</v>
      </c>
      <c r="Q19" s="19">
        <f t="shared" si="15"/>
        <v>17534.24658</v>
      </c>
      <c r="S19" s="1"/>
      <c r="T19" s="24">
        <v>6.0</v>
      </c>
      <c r="U19" s="17" t="s">
        <v>32</v>
      </c>
      <c r="V19" s="17">
        <v>2.0</v>
      </c>
      <c r="W19" s="25">
        <v>13000.0</v>
      </c>
      <c r="X19" s="25">
        <f t="shared" si="12"/>
        <v>26000</v>
      </c>
      <c r="Y19" s="17" t="s">
        <v>33</v>
      </c>
    </row>
    <row r="20">
      <c r="C20" s="30" t="s">
        <v>34</v>
      </c>
      <c r="D20" s="7"/>
      <c r="E20" s="31">
        <f>F20/E10</f>
        <v>2191.780822</v>
      </c>
      <c r="F20" s="32">
        <v>8000.0</v>
      </c>
      <c r="G20" s="32"/>
      <c r="J20" s="16">
        <v>11.0</v>
      </c>
      <c r="K20" s="17">
        <v>0.0</v>
      </c>
      <c r="L20" s="18">
        <f t="shared" si="2"/>
        <v>0</v>
      </c>
      <c r="M20" s="19">
        <f t="shared" si="3"/>
        <v>0</v>
      </c>
      <c r="N20" s="21">
        <f t="shared" si="5"/>
        <v>64000</v>
      </c>
      <c r="O20" s="22">
        <f t="shared" si="6"/>
        <v>17534.24658</v>
      </c>
      <c r="P20" s="18">
        <f t="shared" ref="P20:Q20" si="16">L20+N20</f>
        <v>64000</v>
      </c>
      <c r="Q20" s="19">
        <f t="shared" si="16"/>
        <v>17534.24658</v>
      </c>
      <c r="S20" s="1"/>
      <c r="T20" s="24">
        <v>7.0</v>
      </c>
      <c r="U20" s="17" t="s">
        <v>35</v>
      </c>
      <c r="V20" s="17">
        <v>2.0</v>
      </c>
      <c r="W20" s="25">
        <v>8500.0</v>
      </c>
      <c r="X20" s="25">
        <f t="shared" si="12"/>
        <v>17000</v>
      </c>
      <c r="Y20" s="17" t="s">
        <v>33</v>
      </c>
    </row>
    <row r="21">
      <c r="C21" s="27"/>
      <c r="D21" s="7"/>
      <c r="E21" s="20"/>
      <c r="F21" s="33"/>
      <c r="J21" s="16">
        <v>12.0</v>
      </c>
      <c r="K21" s="17">
        <v>5.0</v>
      </c>
      <c r="L21" s="18">
        <f t="shared" si="2"/>
        <v>1650000</v>
      </c>
      <c r="M21" s="19">
        <f t="shared" si="3"/>
        <v>452054.7945</v>
      </c>
      <c r="N21" s="21">
        <f t="shared" si="5"/>
        <v>64000</v>
      </c>
      <c r="O21" s="22">
        <f t="shared" si="6"/>
        <v>17534.24658</v>
      </c>
      <c r="P21" s="34">
        <f t="shared" ref="P21:Q21" si="17">L21+N21</f>
        <v>1714000</v>
      </c>
      <c r="Q21" s="35">
        <f t="shared" si="17"/>
        <v>469589.0411</v>
      </c>
      <c r="R21" s="36">
        <f>SUM(P10:P21)</f>
        <v>4714000</v>
      </c>
      <c r="S21" s="37">
        <f> 12 * X34</f>
        <v>4381200</v>
      </c>
      <c r="T21" s="24">
        <v>8.0</v>
      </c>
      <c r="U21" s="17" t="s">
        <v>36</v>
      </c>
      <c r="V21" s="17">
        <v>2.0</v>
      </c>
      <c r="W21" s="25">
        <v>10000.0</v>
      </c>
      <c r="X21" s="25">
        <f t="shared" si="12"/>
        <v>20000</v>
      </c>
      <c r="Y21" s="26" t="s">
        <v>33</v>
      </c>
    </row>
    <row r="22">
      <c r="C22" s="8"/>
      <c r="J22" s="16">
        <v>13.0</v>
      </c>
      <c r="K22" s="17">
        <v>1.0</v>
      </c>
      <c r="L22" s="18">
        <f t="shared" si="2"/>
        <v>330000</v>
      </c>
      <c r="M22" s="19">
        <f t="shared" si="3"/>
        <v>90410.9589</v>
      </c>
      <c r="N22" s="21">
        <f t="shared" si="5"/>
        <v>104000</v>
      </c>
      <c r="O22" s="22">
        <f t="shared" si="6"/>
        <v>28493.15068</v>
      </c>
      <c r="P22" s="18">
        <f t="shared" ref="P22:Q22" si="18">L22+N22</f>
        <v>434000</v>
      </c>
      <c r="Q22" s="19">
        <f t="shared" si="18"/>
        <v>118904.1096</v>
      </c>
      <c r="R22" s="38">
        <f>R21 - S21</f>
        <v>332800</v>
      </c>
      <c r="T22" s="24">
        <v>9.0</v>
      </c>
      <c r="U22" s="17" t="s">
        <v>37</v>
      </c>
      <c r="V22" s="17">
        <v>3.0</v>
      </c>
      <c r="W22" s="25">
        <v>6000.0</v>
      </c>
      <c r="X22" s="25">
        <f t="shared" si="12"/>
        <v>18000</v>
      </c>
      <c r="Y22" s="17" t="s">
        <v>33</v>
      </c>
    </row>
    <row r="23">
      <c r="C23" s="8"/>
      <c r="J23" s="16">
        <v>14.0</v>
      </c>
      <c r="K23" s="17">
        <v>2.0</v>
      </c>
      <c r="L23" s="18">
        <f t="shared" si="2"/>
        <v>660000</v>
      </c>
      <c r="M23" s="19">
        <f t="shared" si="3"/>
        <v>180821.9178</v>
      </c>
      <c r="N23" s="21">
        <f t="shared" si="5"/>
        <v>112000</v>
      </c>
      <c r="O23" s="22">
        <f t="shared" si="6"/>
        <v>30684.93151</v>
      </c>
      <c r="P23" s="18">
        <f t="shared" ref="P23:Q23" si="19">L23+N23</f>
        <v>772000</v>
      </c>
      <c r="Q23" s="19">
        <f t="shared" si="19"/>
        <v>211506.8493</v>
      </c>
      <c r="S23" s="1"/>
      <c r="T23" s="24">
        <v>10.0</v>
      </c>
      <c r="U23" s="17" t="s">
        <v>38</v>
      </c>
      <c r="V23" s="17">
        <v>1.0</v>
      </c>
      <c r="W23" s="25">
        <v>14500.0</v>
      </c>
      <c r="X23" s="25">
        <f t="shared" si="12"/>
        <v>14500</v>
      </c>
      <c r="Y23" s="17" t="s">
        <v>33</v>
      </c>
    </row>
    <row r="24">
      <c r="J24" s="16">
        <v>15.0</v>
      </c>
      <c r="K24" s="17">
        <v>0.0</v>
      </c>
      <c r="L24" s="18">
        <f t="shared" si="2"/>
        <v>0</v>
      </c>
      <c r="M24" s="19">
        <f t="shared" si="3"/>
        <v>0</v>
      </c>
      <c r="N24" s="21">
        <f t="shared" si="5"/>
        <v>128000</v>
      </c>
      <c r="O24" s="22">
        <f t="shared" si="6"/>
        <v>35068.49315</v>
      </c>
      <c r="P24" s="18">
        <f t="shared" ref="P24:Q24" si="20">L24+N24</f>
        <v>128000</v>
      </c>
      <c r="Q24" s="19">
        <f t="shared" si="20"/>
        <v>35068.49315</v>
      </c>
      <c r="T24" s="24">
        <v>11.0</v>
      </c>
      <c r="U24" s="17" t="s">
        <v>39</v>
      </c>
      <c r="V24" s="17">
        <v>4.0</v>
      </c>
      <c r="W24" s="25">
        <v>16000.0</v>
      </c>
      <c r="X24" s="25">
        <f t="shared" si="12"/>
        <v>64000</v>
      </c>
      <c r="Y24" s="17" t="s">
        <v>33</v>
      </c>
    </row>
    <row r="25">
      <c r="J25" s="16">
        <v>16.0</v>
      </c>
      <c r="K25" s="17">
        <v>0.0</v>
      </c>
      <c r="L25" s="18">
        <f t="shared" si="2"/>
        <v>0</v>
      </c>
      <c r="M25" s="19">
        <f t="shared" si="3"/>
        <v>0</v>
      </c>
      <c r="N25" s="21">
        <f t="shared" si="5"/>
        <v>128000</v>
      </c>
      <c r="O25" s="22">
        <f t="shared" si="6"/>
        <v>35068.49315</v>
      </c>
      <c r="P25" s="18">
        <f t="shared" ref="P25:Q25" si="21">L25+N25</f>
        <v>128000</v>
      </c>
      <c r="Q25" s="19">
        <f t="shared" si="21"/>
        <v>35068.49315</v>
      </c>
      <c r="T25" s="24">
        <v>12.0</v>
      </c>
      <c r="U25" s="17" t="s">
        <v>40</v>
      </c>
      <c r="V25" s="17">
        <v>1.0</v>
      </c>
      <c r="W25" s="25">
        <v>200.0</v>
      </c>
      <c r="X25" s="25">
        <f t="shared" si="12"/>
        <v>200</v>
      </c>
      <c r="Y25" s="17" t="s">
        <v>41</v>
      </c>
    </row>
    <row r="26">
      <c r="J26" s="16">
        <v>17.0</v>
      </c>
      <c r="K26" s="17">
        <v>3.0</v>
      </c>
      <c r="L26" s="18">
        <f t="shared" si="2"/>
        <v>990000</v>
      </c>
      <c r="M26" s="19">
        <f t="shared" si="3"/>
        <v>271232.8767</v>
      </c>
      <c r="N26" s="21">
        <f t="shared" si="5"/>
        <v>128000</v>
      </c>
      <c r="O26" s="22">
        <f t="shared" si="6"/>
        <v>35068.49315</v>
      </c>
      <c r="P26" s="18">
        <f t="shared" ref="P26:Q26" si="22">L26+N26</f>
        <v>1118000</v>
      </c>
      <c r="Q26" s="19">
        <f t="shared" si="22"/>
        <v>306301.3699</v>
      </c>
      <c r="T26" s="24">
        <v>13.0</v>
      </c>
      <c r="U26" s="17" t="s">
        <v>42</v>
      </c>
      <c r="V26" s="17">
        <v>1.0</v>
      </c>
      <c r="W26" s="25">
        <v>2000.0</v>
      </c>
      <c r="X26" s="25">
        <f t="shared" si="12"/>
        <v>2000</v>
      </c>
      <c r="Y26" s="17" t="s">
        <v>43</v>
      </c>
    </row>
    <row r="27">
      <c r="J27" s="16">
        <v>18.0</v>
      </c>
      <c r="K27" s="17">
        <v>2.0</v>
      </c>
      <c r="L27" s="18">
        <f t="shared" si="2"/>
        <v>660000</v>
      </c>
      <c r="M27" s="19">
        <f t="shared" si="3"/>
        <v>180821.9178</v>
      </c>
      <c r="N27" s="21">
        <f t="shared" si="5"/>
        <v>152000</v>
      </c>
      <c r="O27" s="22">
        <f t="shared" si="6"/>
        <v>41643.83562</v>
      </c>
      <c r="P27" s="18">
        <f t="shared" ref="P27:Q27" si="23">L27+N27</f>
        <v>812000</v>
      </c>
      <c r="Q27" s="19">
        <f t="shared" si="23"/>
        <v>222465.7534</v>
      </c>
      <c r="T27" s="24">
        <v>14.0</v>
      </c>
      <c r="U27" s="17" t="s">
        <v>44</v>
      </c>
      <c r="V27" s="17">
        <v>1.0</v>
      </c>
      <c r="W27" s="25">
        <v>2000.0</v>
      </c>
      <c r="X27" s="25">
        <f t="shared" si="12"/>
        <v>2000</v>
      </c>
      <c r="Y27" s="17" t="s">
        <v>45</v>
      </c>
      <c r="Z27" s="1"/>
      <c r="AA27" s="1"/>
      <c r="AB27" s="1"/>
      <c r="AC27" s="1"/>
      <c r="AD27" s="1"/>
    </row>
    <row r="28">
      <c r="J28" s="16">
        <v>19.0</v>
      </c>
      <c r="K28" s="17">
        <v>5.0</v>
      </c>
      <c r="L28" s="18">
        <f t="shared" si="2"/>
        <v>1650000</v>
      </c>
      <c r="M28" s="19">
        <f t="shared" si="3"/>
        <v>452054.7945</v>
      </c>
      <c r="N28" s="21">
        <f t="shared" si="5"/>
        <v>168000</v>
      </c>
      <c r="O28" s="22">
        <f t="shared" si="6"/>
        <v>46027.39726</v>
      </c>
      <c r="P28" s="18">
        <f t="shared" ref="P28:Q28" si="24">L28+N28</f>
        <v>1818000</v>
      </c>
      <c r="Q28" s="19">
        <f t="shared" si="24"/>
        <v>498082.1918</v>
      </c>
      <c r="T28" s="24">
        <v>15.0</v>
      </c>
      <c r="U28" s="17" t="s">
        <v>46</v>
      </c>
      <c r="V28" s="17">
        <v>1.0</v>
      </c>
      <c r="W28" s="25">
        <v>12500.0</v>
      </c>
      <c r="X28" s="25">
        <f t="shared" si="12"/>
        <v>12500</v>
      </c>
      <c r="Y28" s="17" t="s">
        <v>47</v>
      </c>
      <c r="Z28" s="1"/>
      <c r="AA28" s="1"/>
      <c r="AB28" s="1"/>
      <c r="AC28" s="1"/>
      <c r="AD28" s="1"/>
    </row>
    <row r="29">
      <c r="J29" s="16">
        <v>20.0</v>
      </c>
      <c r="K29" s="17">
        <v>0.0</v>
      </c>
      <c r="L29" s="18">
        <f t="shared" si="2"/>
        <v>0</v>
      </c>
      <c r="M29" s="19">
        <f t="shared" si="3"/>
        <v>0</v>
      </c>
      <c r="N29" s="21">
        <f t="shared" si="5"/>
        <v>208000</v>
      </c>
      <c r="O29" s="22">
        <f t="shared" si="6"/>
        <v>56986.30137</v>
      </c>
      <c r="P29" s="18">
        <f t="shared" ref="P29:Q29" si="25">L29+N29</f>
        <v>208000</v>
      </c>
      <c r="Q29" s="19">
        <f t="shared" si="25"/>
        <v>56986.30137</v>
      </c>
      <c r="T29" s="24">
        <v>16.0</v>
      </c>
      <c r="U29" s="17" t="s">
        <v>48</v>
      </c>
      <c r="V29" s="17">
        <v>1.0</v>
      </c>
      <c r="W29" s="25">
        <v>3000.0</v>
      </c>
      <c r="X29" s="25">
        <f t="shared" si="12"/>
        <v>3000</v>
      </c>
      <c r="Y29" s="17"/>
    </row>
    <row r="30">
      <c r="J30" s="16">
        <v>21.0</v>
      </c>
      <c r="K30" s="17">
        <v>0.0</v>
      </c>
      <c r="L30" s="18">
        <f t="shared" si="2"/>
        <v>0</v>
      </c>
      <c r="M30" s="19">
        <f t="shared" si="3"/>
        <v>0</v>
      </c>
      <c r="N30" s="21">
        <f t="shared" si="5"/>
        <v>208000</v>
      </c>
      <c r="O30" s="22">
        <f t="shared" si="6"/>
        <v>56986.30137</v>
      </c>
      <c r="P30" s="18">
        <f t="shared" ref="P30:Q30" si="26">L30+N30</f>
        <v>208000</v>
      </c>
      <c r="Q30" s="19">
        <f t="shared" si="26"/>
        <v>56986.30137</v>
      </c>
      <c r="T30" s="24">
        <v>17.0</v>
      </c>
      <c r="U30" s="17" t="s">
        <v>49</v>
      </c>
      <c r="V30" s="17">
        <v>14.0</v>
      </c>
      <c r="W30" s="25">
        <v>1100.0</v>
      </c>
      <c r="X30" s="25">
        <f t="shared" si="12"/>
        <v>15400</v>
      </c>
      <c r="Y30" s="17" t="s">
        <v>50</v>
      </c>
    </row>
    <row r="31">
      <c r="J31" s="16">
        <v>22.0</v>
      </c>
      <c r="K31" s="17">
        <v>1.0</v>
      </c>
      <c r="L31" s="18">
        <f t="shared" si="2"/>
        <v>330000</v>
      </c>
      <c r="M31" s="19">
        <f t="shared" si="3"/>
        <v>90410.9589</v>
      </c>
      <c r="N31" s="21">
        <f t="shared" si="5"/>
        <v>208000</v>
      </c>
      <c r="O31" s="22">
        <f t="shared" si="6"/>
        <v>56986.30137</v>
      </c>
      <c r="P31" s="18">
        <f t="shared" ref="P31:Q31" si="27">L31+N31</f>
        <v>538000</v>
      </c>
      <c r="Q31" s="19">
        <f t="shared" si="27"/>
        <v>147397.2603</v>
      </c>
      <c r="T31" s="24">
        <v>18.0</v>
      </c>
      <c r="U31" s="17" t="s">
        <v>51</v>
      </c>
      <c r="V31" s="17">
        <v>1.0</v>
      </c>
      <c r="W31" s="25">
        <v>36000.0</v>
      </c>
      <c r="X31" s="25">
        <f t="shared" si="12"/>
        <v>36000</v>
      </c>
      <c r="Y31" s="17"/>
    </row>
    <row r="32">
      <c r="J32" s="16">
        <v>23.0</v>
      </c>
      <c r="K32" s="17">
        <v>1.0</v>
      </c>
      <c r="L32" s="18">
        <f t="shared" si="2"/>
        <v>330000</v>
      </c>
      <c r="M32" s="19">
        <f t="shared" si="3"/>
        <v>90410.9589</v>
      </c>
      <c r="N32" s="21">
        <f t="shared" si="5"/>
        <v>216000</v>
      </c>
      <c r="O32" s="22">
        <f t="shared" si="6"/>
        <v>59178.08219</v>
      </c>
      <c r="P32" s="18">
        <f t="shared" ref="P32:Q32" si="28">L32+N32</f>
        <v>546000</v>
      </c>
      <c r="Q32" s="19">
        <f t="shared" si="28"/>
        <v>149589.0411</v>
      </c>
      <c r="T32" s="24">
        <v>19.0</v>
      </c>
      <c r="U32" s="17" t="s">
        <v>52</v>
      </c>
      <c r="V32" s="17">
        <v>2.0</v>
      </c>
      <c r="W32" s="25">
        <v>6000.0</v>
      </c>
      <c r="X32" s="25">
        <f t="shared" si="12"/>
        <v>12000</v>
      </c>
      <c r="Y32" s="17" t="s">
        <v>53</v>
      </c>
    </row>
    <row r="33">
      <c r="J33" s="16">
        <v>24.0</v>
      </c>
      <c r="K33" s="17">
        <v>6.0</v>
      </c>
      <c r="L33" s="18">
        <f t="shared" si="2"/>
        <v>1980000</v>
      </c>
      <c r="M33" s="19">
        <f t="shared" si="3"/>
        <v>542465.7534</v>
      </c>
      <c r="N33" s="21">
        <f t="shared" si="5"/>
        <v>224000</v>
      </c>
      <c r="O33" s="22">
        <f t="shared" si="6"/>
        <v>61369.86301</v>
      </c>
      <c r="P33" s="18">
        <f t="shared" ref="P33:Q33" si="29">L33+N33</f>
        <v>2204000</v>
      </c>
      <c r="Q33" s="19">
        <f t="shared" si="29"/>
        <v>603835.6164</v>
      </c>
      <c r="T33" s="24">
        <v>20.0</v>
      </c>
      <c r="U33" s="17" t="s">
        <v>54</v>
      </c>
      <c r="V33" s="17">
        <v>1.0</v>
      </c>
      <c r="W33" s="25">
        <v>8000.0</v>
      </c>
      <c r="X33" s="25">
        <f t="shared" si="12"/>
        <v>8000</v>
      </c>
      <c r="Y33" s="17" t="s">
        <v>55</v>
      </c>
    </row>
    <row r="34">
      <c r="J34" s="16">
        <v>25.0</v>
      </c>
      <c r="K34" s="17">
        <v>5.0</v>
      </c>
      <c r="L34" s="18">
        <f t="shared" si="2"/>
        <v>1650000</v>
      </c>
      <c r="M34" s="19">
        <f t="shared" si="3"/>
        <v>452054.7945</v>
      </c>
      <c r="N34" s="21">
        <f t="shared" si="5"/>
        <v>272000</v>
      </c>
      <c r="O34" s="22">
        <f t="shared" si="6"/>
        <v>74520.54795</v>
      </c>
      <c r="P34" s="18">
        <f t="shared" ref="P34:Q34" si="30">L34+N34</f>
        <v>1922000</v>
      </c>
      <c r="Q34" s="19">
        <f t="shared" si="30"/>
        <v>526575.3425</v>
      </c>
      <c r="V34" s="24" t="s">
        <v>56</v>
      </c>
      <c r="W34" s="39">
        <f t="shared" ref="W34:X34" si="31">SUM(W14:W33)</f>
        <v>185300</v>
      </c>
      <c r="X34" s="39">
        <f t="shared" si="31"/>
        <v>365100</v>
      </c>
    </row>
    <row r="35">
      <c r="J35" s="16">
        <v>26.0</v>
      </c>
      <c r="K35" s="17">
        <v>4.0</v>
      </c>
      <c r="L35" s="18">
        <f t="shared" si="2"/>
        <v>1320000</v>
      </c>
      <c r="M35" s="19">
        <f t="shared" si="3"/>
        <v>361643.8356</v>
      </c>
      <c r="N35" s="21">
        <f t="shared" si="5"/>
        <v>312000</v>
      </c>
      <c r="O35" s="22">
        <f t="shared" si="6"/>
        <v>85479.45205</v>
      </c>
      <c r="P35" s="18">
        <f t="shared" ref="P35:Q35" si="32">L35+N35</f>
        <v>1632000</v>
      </c>
      <c r="Q35" s="19">
        <f t="shared" si="32"/>
        <v>447123.2877</v>
      </c>
    </row>
    <row r="36">
      <c r="J36" s="16">
        <v>27.0</v>
      </c>
      <c r="K36" s="17">
        <v>2.0</v>
      </c>
      <c r="L36" s="18">
        <f t="shared" si="2"/>
        <v>660000</v>
      </c>
      <c r="M36" s="19">
        <f t="shared" si="3"/>
        <v>180821.9178</v>
      </c>
      <c r="N36" s="21">
        <f t="shared" si="5"/>
        <v>344000</v>
      </c>
      <c r="O36" s="22">
        <f t="shared" si="6"/>
        <v>94246.57534</v>
      </c>
      <c r="P36" s="18">
        <f t="shared" ref="P36:Q36" si="33">L36+N36</f>
        <v>1004000</v>
      </c>
      <c r="Q36" s="19">
        <f t="shared" si="33"/>
        <v>275068.4932</v>
      </c>
    </row>
    <row r="37">
      <c r="J37" s="16">
        <v>28.0</v>
      </c>
      <c r="K37" s="17">
        <v>1.0</v>
      </c>
      <c r="L37" s="18">
        <f t="shared" si="2"/>
        <v>330000</v>
      </c>
      <c r="M37" s="19">
        <f t="shared" si="3"/>
        <v>90410.9589</v>
      </c>
      <c r="N37" s="21">
        <f t="shared" si="5"/>
        <v>360000</v>
      </c>
      <c r="O37" s="22">
        <f t="shared" si="6"/>
        <v>98630.13699</v>
      </c>
      <c r="P37" s="18">
        <f t="shared" ref="P37:Q37" si="34">L37+N37</f>
        <v>690000</v>
      </c>
      <c r="Q37" s="19">
        <f t="shared" si="34"/>
        <v>189041.0959</v>
      </c>
      <c r="V37" s="40"/>
      <c r="W37" s="40"/>
      <c r="X37" s="40"/>
    </row>
    <row r="38">
      <c r="J38" s="16">
        <v>29.0</v>
      </c>
      <c r="K38" s="17">
        <v>1.0</v>
      </c>
      <c r="L38" s="18">
        <f t="shared" si="2"/>
        <v>330000</v>
      </c>
      <c r="M38" s="19">
        <f t="shared" si="3"/>
        <v>90410.9589</v>
      </c>
      <c r="N38" s="21">
        <f t="shared" si="5"/>
        <v>368000</v>
      </c>
      <c r="O38" s="22">
        <f t="shared" si="6"/>
        <v>100821.9178</v>
      </c>
      <c r="P38" s="18">
        <f t="shared" ref="P38:Q38" si="35">L38+N38</f>
        <v>698000</v>
      </c>
      <c r="Q38" s="19">
        <f t="shared" si="35"/>
        <v>191232.8767</v>
      </c>
      <c r="T38" s="1"/>
      <c r="U38" s="1"/>
      <c r="V38" s="1"/>
      <c r="W38" s="1"/>
      <c r="X38" s="1"/>
      <c r="Y38" s="23"/>
    </row>
    <row r="39">
      <c r="J39" s="16">
        <v>30.0</v>
      </c>
      <c r="K39" s="17">
        <v>6.0</v>
      </c>
      <c r="L39" s="18">
        <f t="shared" si="2"/>
        <v>1980000</v>
      </c>
      <c r="M39" s="19">
        <f t="shared" si="3"/>
        <v>542465.7534</v>
      </c>
      <c r="N39" s="21">
        <f t="shared" si="5"/>
        <v>376000</v>
      </c>
      <c r="O39" s="22">
        <f t="shared" si="6"/>
        <v>103013.6986</v>
      </c>
      <c r="P39" s="18">
        <f t="shared" ref="P39:Q39" si="36">L39+N39</f>
        <v>2356000</v>
      </c>
      <c r="Q39" s="19">
        <f t="shared" si="36"/>
        <v>645479.4521</v>
      </c>
      <c r="T39" s="5" t="s">
        <v>57</v>
      </c>
      <c r="U39" s="6"/>
      <c r="V39" s="6"/>
      <c r="W39" s="6"/>
      <c r="X39" s="6"/>
      <c r="Y39" s="7"/>
    </row>
    <row r="40">
      <c r="J40" s="16">
        <v>31.0</v>
      </c>
      <c r="K40" s="17">
        <v>3.0</v>
      </c>
      <c r="L40" s="18">
        <f t="shared" si="2"/>
        <v>990000</v>
      </c>
      <c r="M40" s="19">
        <f t="shared" si="3"/>
        <v>271232.8767</v>
      </c>
      <c r="N40" s="21">
        <f t="shared" si="5"/>
        <v>424000</v>
      </c>
      <c r="O40" s="22">
        <f t="shared" si="6"/>
        <v>116164.3836</v>
      </c>
      <c r="P40" s="18">
        <f t="shared" ref="P40:Q40" si="37">L40+N40</f>
        <v>1414000</v>
      </c>
      <c r="Q40" s="19">
        <f t="shared" si="37"/>
        <v>387397.2603</v>
      </c>
      <c r="T40" s="12" t="s">
        <v>14</v>
      </c>
      <c r="U40" s="12" t="s">
        <v>15</v>
      </c>
      <c r="V40" s="12" t="s">
        <v>16</v>
      </c>
      <c r="W40" s="12" t="s">
        <v>17</v>
      </c>
      <c r="X40" s="12" t="s">
        <v>18</v>
      </c>
      <c r="Y40" s="12" t="s">
        <v>19</v>
      </c>
    </row>
    <row r="41">
      <c r="J41" s="16">
        <v>32.0</v>
      </c>
      <c r="K41" s="17">
        <v>2.0</v>
      </c>
      <c r="L41" s="18">
        <f t="shared" si="2"/>
        <v>660000</v>
      </c>
      <c r="M41" s="19">
        <f t="shared" si="3"/>
        <v>180821.9178</v>
      </c>
      <c r="N41" s="21">
        <f t="shared" si="5"/>
        <v>448000</v>
      </c>
      <c r="O41" s="22">
        <f t="shared" si="6"/>
        <v>122739.726</v>
      </c>
      <c r="P41" s="18">
        <f t="shared" ref="P41:Q41" si="38">L41+N41</f>
        <v>1108000</v>
      </c>
      <c r="Q41" s="19">
        <f t="shared" si="38"/>
        <v>303561.6438</v>
      </c>
      <c r="T41" s="24">
        <v>1.0</v>
      </c>
      <c r="U41" s="17" t="s">
        <v>20</v>
      </c>
      <c r="V41" s="17">
        <v>6.0</v>
      </c>
      <c r="W41" s="25">
        <v>0.0</v>
      </c>
      <c r="X41" s="25">
        <v>0.0</v>
      </c>
      <c r="Y41" s="17" t="s">
        <v>21</v>
      </c>
    </row>
    <row r="42">
      <c r="J42" s="16">
        <v>33.0</v>
      </c>
      <c r="K42" s="17">
        <v>1.0</v>
      </c>
      <c r="L42" s="18">
        <f t="shared" si="2"/>
        <v>330000</v>
      </c>
      <c r="M42" s="19">
        <f t="shared" si="3"/>
        <v>90410.9589</v>
      </c>
      <c r="N42" s="21">
        <f t="shared" si="5"/>
        <v>464000</v>
      </c>
      <c r="O42" s="22">
        <f t="shared" si="6"/>
        <v>127123.2877</v>
      </c>
      <c r="P42" s="18">
        <f t="shared" ref="P42:Q42" si="39">L42+N42</f>
        <v>794000</v>
      </c>
      <c r="Q42" s="19">
        <f t="shared" si="39"/>
        <v>217534.2466</v>
      </c>
      <c r="T42" s="24">
        <v>2.0</v>
      </c>
      <c r="U42" s="17" t="s">
        <v>22</v>
      </c>
      <c r="V42" s="17">
        <v>3.0</v>
      </c>
      <c r="W42" s="25">
        <v>12500.0</v>
      </c>
      <c r="X42" s="25">
        <f t="shared" ref="X42:X60" si="41">W42*V42</f>
        <v>37500</v>
      </c>
      <c r="Y42" s="26" t="s">
        <v>23</v>
      </c>
    </row>
    <row r="43">
      <c r="J43" s="16">
        <v>34.0</v>
      </c>
      <c r="K43" s="17">
        <v>3.0</v>
      </c>
      <c r="L43" s="18">
        <f t="shared" si="2"/>
        <v>990000</v>
      </c>
      <c r="M43" s="19">
        <f t="shared" si="3"/>
        <v>271232.8767</v>
      </c>
      <c r="N43" s="21">
        <f t="shared" si="5"/>
        <v>472000</v>
      </c>
      <c r="O43" s="22">
        <f t="shared" si="6"/>
        <v>129315.0685</v>
      </c>
      <c r="P43" s="18">
        <f t="shared" ref="P43:Q43" si="40">L43+N43</f>
        <v>1462000</v>
      </c>
      <c r="Q43" s="19">
        <f t="shared" si="40"/>
        <v>400547.9452</v>
      </c>
      <c r="T43" s="24">
        <v>3.0</v>
      </c>
      <c r="U43" s="17" t="s">
        <v>24</v>
      </c>
      <c r="V43" s="17">
        <v>2.0</v>
      </c>
      <c r="W43" s="25">
        <v>8000.0</v>
      </c>
      <c r="X43" s="25">
        <f t="shared" si="41"/>
        <v>16000</v>
      </c>
      <c r="Y43" s="17" t="s">
        <v>25</v>
      </c>
    </row>
    <row r="44">
      <c r="J44" s="16">
        <v>35.0</v>
      </c>
      <c r="K44" s="17">
        <v>2.0</v>
      </c>
      <c r="L44" s="18">
        <f t="shared" si="2"/>
        <v>660000</v>
      </c>
      <c r="M44" s="19">
        <f t="shared" si="3"/>
        <v>180821.9178</v>
      </c>
      <c r="N44" s="21">
        <f t="shared" si="5"/>
        <v>496000</v>
      </c>
      <c r="O44" s="22">
        <f t="shared" si="6"/>
        <v>135890.411</v>
      </c>
      <c r="P44" s="18">
        <f t="shared" ref="P44:Q44" si="42">L44+N44</f>
        <v>1156000</v>
      </c>
      <c r="Q44" s="19">
        <f t="shared" si="42"/>
        <v>316712.3288</v>
      </c>
      <c r="T44" s="24">
        <v>4.0</v>
      </c>
      <c r="U44" s="17" t="s">
        <v>26</v>
      </c>
      <c r="V44" s="17">
        <v>2.0</v>
      </c>
      <c r="W44" s="25">
        <v>17000.0</v>
      </c>
      <c r="X44" s="25">
        <f t="shared" si="41"/>
        <v>34000</v>
      </c>
      <c r="Y44" s="17" t="s">
        <v>27</v>
      </c>
    </row>
    <row r="45">
      <c r="J45" s="16">
        <v>36.0</v>
      </c>
      <c r="K45" s="17">
        <v>3.0</v>
      </c>
      <c r="L45" s="18">
        <f t="shared" si="2"/>
        <v>990000</v>
      </c>
      <c r="M45" s="19">
        <f t="shared" si="3"/>
        <v>271232.8767</v>
      </c>
      <c r="N45" s="21">
        <f t="shared" si="5"/>
        <v>512000</v>
      </c>
      <c r="O45" s="22">
        <f t="shared" si="6"/>
        <v>140273.9726</v>
      </c>
      <c r="P45" s="18">
        <f t="shared" ref="P45:Q45" si="43">L45+N45</f>
        <v>1502000</v>
      </c>
      <c r="Q45" s="19">
        <f t="shared" si="43"/>
        <v>411506.8493</v>
      </c>
      <c r="T45" s="24">
        <v>5.0</v>
      </c>
      <c r="U45" s="17" t="s">
        <v>29</v>
      </c>
      <c r="V45" s="17">
        <v>2.0</v>
      </c>
      <c r="W45" s="25">
        <v>11500.0</v>
      </c>
      <c r="X45" s="25">
        <f t="shared" si="41"/>
        <v>23000</v>
      </c>
      <c r="Y45" s="17" t="s">
        <v>30</v>
      </c>
    </row>
    <row r="46">
      <c r="J46" s="41" t="s">
        <v>56</v>
      </c>
      <c r="K46" s="41">
        <f t="shared" ref="K46:Q46" si="44">SUM(K10:K45)</f>
        <v>67</v>
      </c>
      <c r="L46" s="42">
        <f t="shared" si="44"/>
        <v>22110000</v>
      </c>
      <c r="M46" s="42">
        <f t="shared" si="44"/>
        <v>6057534.247</v>
      </c>
      <c r="N46" s="43">
        <f t="shared" si="44"/>
        <v>7256000</v>
      </c>
      <c r="O46" s="44">
        <f t="shared" si="44"/>
        <v>1987945.205</v>
      </c>
      <c r="P46" s="45">
        <f t="shared" si="44"/>
        <v>29366000</v>
      </c>
      <c r="Q46" s="44">
        <f t="shared" si="44"/>
        <v>8045479.452</v>
      </c>
      <c r="T46" s="24">
        <v>6.0</v>
      </c>
      <c r="U46" s="17" t="s">
        <v>32</v>
      </c>
      <c r="V46" s="17">
        <v>2.0</v>
      </c>
      <c r="W46" s="25">
        <v>13000.0</v>
      </c>
      <c r="X46" s="25">
        <f t="shared" si="41"/>
        <v>26000</v>
      </c>
      <c r="Y46" s="17" t="s">
        <v>33</v>
      </c>
    </row>
    <row r="47">
      <c r="T47" s="24">
        <v>7.0</v>
      </c>
      <c r="U47" s="17" t="s">
        <v>35</v>
      </c>
      <c r="V47" s="17">
        <v>2.0</v>
      </c>
      <c r="W47" s="25">
        <v>8500.0</v>
      </c>
      <c r="X47" s="25">
        <f t="shared" si="41"/>
        <v>17000</v>
      </c>
      <c r="Y47" s="17" t="s">
        <v>33</v>
      </c>
    </row>
    <row r="48">
      <c r="I48" s="1"/>
      <c r="J48" s="1"/>
      <c r="K48" s="1"/>
      <c r="L48" s="1"/>
      <c r="M48" s="1"/>
      <c r="N48" s="1"/>
      <c r="R48" s="1"/>
      <c r="T48" s="24">
        <v>8.0</v>
      </c>
      <c r="U48" s="17" t="s">
        <v>36</v>
      </c>
      <c r="V48" s="17">
        <v>1.0</v>
      </c>
      <c r="W48" s="25">
        <v>14000.0</v>
      </c>
      <c r="X48" s="25">
        <f t="shared" si="41"/>
        <v>14000</v>
      </c>
      <c r="Y48" s="26" t="s">
        <v>33</v>
      </c>
    </row>
    <row r="49">
      <c r="R49" s="1"/>
      <c r="T49" s="24">
        <v>9.0</v>
      </c>
      <c r="U49" s="17" t="s">
        <v>37</v>
      </c>
      <c r="V49" s="17">
        <v>3.0</v>
      </c>
      <c r="W49" s="25">
        <v>6000.0</v>
      </c>
      <c r="X49" s="25">
        <f t="shared" si="41"/>
        <v>18000</v>
      </c>
      <c r="Y49" s="17" t="s">
        <v>33</v>
      </c>
    </row>
    <row r="50">
      <c r="R50" s="1"/>
      <c r="T50" s="24">
        <v>10.0</v>
      </c>
      <c r="U50" s="17" t="s">
        <v>38</v>
      </c>
      <c r="V50" s="17">
        <v>1.0</v>
      </c>
      <c r="W50" s="25">
        <v>14500.0</v>
      </c>
      <c r="X50" s="25">
        <f t="shared" si="41"/>
        <v>14500</v>
      </c>
      <c r="Y50" s="17" t="s">
        <v>33</v>
      </c>
    </row>
    <row r="51">
      <c r="R51" s="1"/>
      <c r="T51" s="24">
        <v>11.0</v>
      </c>
      <c r="U51" s="17" t="s">
        <v>39</v>
      </c>
      <c r="V51" s="17">
        <v>4.0</v>
      </c>
      <c r="W51" s="25">
        <v>16000.0</v>
      </c>
      <c r="X51" s="25">
        <f t="shared" si="41"/>
        <v>64000</v>
      </c>
      <c r="Y51" s="17" t="s">
        <v>33</v>
      </c>
    </row>
    <row r="52">
      <c r="J52" s="46"/>
      <c r="M52" s="46" t="s">
        <v>58</v>
      </c>
      <c r="R52" s="1"/>
      <c r="T52" s="24">
        <v>12.0</v>
      </c>
      <c r="U52" s="17" t="s">
        <v>40</v>
      </c>
      <c r="V52" s="17">
        <v>1.0</v>
      </c>
      <c r="W52" s="25">
        <v>220.0</v>
      </c>
      <c r="X52" s="25">
        <f t="shared" si="41"/>
        <v>220</v>
      </c>
      <c r="Y52" s="17" t="s">
        <v>41</v>
      </c>
    </row>
    <row r="53">
      <c r="M53" s="46" t="s">
        <v>58</v>
      </c>
      <c r="R53" s="1"/>
      <c r="T53" s="24">
        <v>13.0</v>
      </c>
      <c r="U53" s="17" t="s">
        <v>42</v>
      </c>
      <c r="V53" s="17">
        <v>1.0</v>
      </c>
      <c r="W53" s="25">
        <v>2000.0</v>
      </c>
      <c r="X53" s="25">
        <f t="shared" si="41"/>
        <v>2000</v>
      </c>
      <c r="Y53" s="17" t="s">
        <v>43</v>
      </c>
    </row>
    <row r="54">
      <c r="M54" s="46" t="s">
        <v>58</v>
      </c>
      <c r="R54" s="1"/>
      <c r="T54" s="24">
        <v>14.0</v>
      </c>
      <c r="U54" s="17" t="s">
        <v>44</v>
      </c>
      <c r="V54" s="17">
        <v>1.0</v>
      </c>
      <c r="W54" s="25">
        <v>2000.0</v>
      </c>
      <c r="X54" s="25">
        <f t="shared" si="41"/>
        <v>2000</v>
      </c>
      <c r="Y54" s="17" t="s">
        <v>45</v>
      </c>
    </row>
    <row r="55">
      <c r="M55" s="46" t="s">
        <v>58</v>
      </c>
      <c r="R55" s="1"/>
      <c r="T55" s="24">
        <v>15.0</v>
      </c>
      <c r="U55" s="17" t="s">
        <v>46</v>
      </c>
      <c r="V55" s="17">
        <v>1.0</v>
      </c>
      <c r="W55" s="25">
        <v>12500.0</v>
      </c>
      <c r="X55" s="25">
        <f t="shared" si="41"/>
        <v>12500</v>
      </c>
      <c r="Y55" s="17" t="s">
        <v>47</v>
      </c>
    </row>
    <row r="56">
      <c r="M56" s="46" t="s">
        <v>59</v>
      </c>
      <c r="R56" s="1"/>
      <c r="T56" s="24">
        <v>16.0</v>
      </c>
      <c r="U56" s="17" t="s">
        <v>48</v>
      </c>
      <c r="V56" s="17">
        <v>1.0</v>
      </c>
      <c r="W56" s="25">
        <v>3000.0</v>
      </c>
      <c r="X56" s="25">
        <f t="shared" si="41"/>
        <v>3000</v>
      </c>
      <c r="Y56" s="17"/>
    </row>
    <row r="57">
      <c r="M57" s="46" t="s">
        <v>58</v>
      </c>
      <c r="T57" s="24">
        <v>17.0</v>
      </c>
      <c r="U57" s="17" t="s">
        <v>49</v>
      </c>
      <c r="V57" s="17">
        <v>19.0</v>
      </c>
      <c r="W57" s="25">
        <v>1200.0</v>
      </c>
      <c r="X57" s="25">
        <f t="shared" si="41"/>
        <v>22800</v>
      </c>
      <c r="Y57" s="17" t="s">
        <v>60</v>
      </c>
    </row>
    <row r="58">
      <c r="T58" s="24">
        <v>18.0</v>
      </c>
      <c r="U58" s="17" t="s">
        <v>51</v>
      </c>
      <c r="V58" s="17">
        <v>1.0</v>
      </c>
      <c r="W58" s="25">
        <v>46000.0</v>
      </c>
      <c r="X58" s="25">
        <f t="shared" si="41"/>
        <v>46000</v>
      </c>
      <c r="Y58" s="17"/>
    </row>
    <row r="59">
      <c r="T59" s="24">
        <v>19.0</v>
      </c>
      <c r="U59" s="17" t="s">
        <v>52</v>
      </c>
      <c r="V59" s="17">
        <v>2.0</v>
      </c>
      <c r="W59" s="25">
        <v>6000.0</v>
      </c>
      <c r="X59" s="25">
        <f t="shared" si="41"/>
        <v>12000</v>
      </c>
      <c r="Y59" s="17" t="s">
        <v>53</v>
      </c>
    </row>
    <row r="60">
      <c r="T60" s="24">
        <v>20.0</v>
      </c>
      <c r="U60" s="17" t="s">
        <v>54</v>
      </c>
      <c r="V60" s="17">
        <v>1.0</v>
      </c>
      <c r="W60" s="25">
        <v>6000.0</v>
      </c>
      <c r="X60" s="25">
        <f t="shared" si="41"/>
        <v>6000</v>
      </c>
      <c r="Y60" s="17" t="s">
        <v>55</v>
      </c>
    </row>
    <row r="61">
      <c r="V61" s="24" t="s">
        <v>56</v>
      </c>
      <c r="W61" s="39">
        <f t="shared" ref="W61:X61" si="45">SUM(W41:W60)</f>
        <v>199920</v>
      </c>
      <c r="X61" s="39">
        <f t="shared" si="45"/>
        <v>370520</v>
      </c>
    </row>
    <row r="64">
      <c r="J64" s="46"/>
    </row>
    <row r="66">
      <c r="T66" s="5" t="s">
        <v>61</v>
      </c>
      <c r="U66" s="6"/>
      <c r="V66" s="6"/>
      <c r="W66" s="6"/>
      <c r="X66" s="6"/>
      <c r="Y66" s="7"/>
    </row>
    <row r="67">
      <c r="T67" s="12" t="s">
        <v>14</v>
      </c>
      <c r="U67" s="12" t="s">
        <v>15</v>
      </c>
      <c r="V67" s="12" t="s">
        <v>16</v>
      </c>
      <c r="W67" s="12" t="s">
        <v>17</v>
      </c>
      <c r="X67" s="12" t="s">
        <v>18</v>
      </c>
      <c r="Y67" s="12" t="s">
        <v>19</v>
      </c>
    </row>
    <row r="68">
      <c r="T68" s="24">
        <v>1.0</v>
      </c>
      <c r="U68" s="17" t="s">
        <v>20</v>
      </c>
      <c r="V68" s="17">
        <v>6.0</v>
      </c>
      <c r="W68" s="25">
        <v>0.0</v>
      </c>
      <c r="X68" s="25">
        <v>0.0</v>
      </c>
      <c r="Y68" s="17" t="s">
        <v>21</v>
      </c>
    </row>
    <row r="69">
      <c r="T69" s="24">
        <v>2.0</v>
      </c>
      <c r="U69" s="17" t="s">
        <v>22</v>
      </c>
      <c r="V69" s="17">
        <v>4.0</v>
      </c>
      <c r="W69" s="25">
        <v>16500.0</v>
      </c>
      <c r="X69" s="25">
        <f t="shared" ref="X69:X87" si="46">W69*V69</f>
        <v>66000</v>
      </c>
      <c r="Y69" s="26" t="s">
        <v>23</v>
      </c>
    </row>
    <row r="70">
      <c r="T70" s="24">
        <v>3.0</v>
      </c>
      <c r="U70" s="17" t="s">
        <v>24</v>
      </c>
      <c r="V70" s="17">
        <v>2.0</v>
      </c>
      <c r="W70" s="25">
        <v>8000.0</v>
      </c>
      <c r="X70" s="25">
        <f t="shared" si="46"/>
        <v>16000</v>
      </c>
      <c r="Y70" s="17" t="s">
        <v>25</v>
      </c>
    </row>
    <row r="71">
      <c r="T71" s="24">
        <v>4.0</v>
      </c>
      <c r="U71" s="17" t="s">
        <v>26</v>
      </c>
      <c r="V71" s="17">
        <v>3.0</v>
      </c>
      <c r="W71" s="25">
        <v>17000.0</v>
      </c>
      <c r="X71" s="25">
        <f t="shared" si="46"/>
        <v>51000</v>
      </c>
      <c r="Y71" s="17" t="s">
        <v>27</v>
      </c>
      <c r="AB71" s="1"/>
      <c r="AC71" s="1"/>
      <c r="AD71" s="1"/>
    </row>
    <row r="72">
      <c r="S72" s="1"/>
      <c r="T72" s="24">
        <v>5.0</v>
      </c>
      <c r="U72" s="17" t="s">
        <v>29</v>
      </c>
      <c r="V72" s="17">
        <v>2.0</v>
      </c>
      <c r="W72" s="25">
        <v>11500.0</v>
      </c>
      <c r="X72" s="25">
        <f t="shared" si="46"/>
        <v>23000</v>
      </c>
      <c r="Y72" s="17" t="s">
        <v>30</v>
      </c>
      <c r="AA72" s="1"/>
      <c r="AB72" s="1"/>
      <c r="AC72" s="1"/>
      <c r="AD72" s="1"/>
    </row>
    <row r="73">
      <c r="S73" s="15"/>
      <c r="T73" s="24">
        <v>6.0</v>
      </c>
      <c r="U73" s="17" t="s">
        <v>32</v>
      </c>
      <c r="V73" s="17">
        <v>2.0</v>
      </c>
      <c r="W73" s="25">
        <v>13000.0</v>
      </c>
      <c r="X73" s="25">
        <f t="shared" si="46"/>
        <v>26000</v>
      </c>
      <c r="Y73" s="17" t="s">
        <v>33</v>
      </c>
    </row>
    <row r="74">
      <c r="S74" s="15"/>
      <c r="T74" s="24">
        <v>7.0</v>
      </c>
      <c r="U74" s="17" t="s">
        <v>35</v>
      </c>
      <c r="V74" s="17">
        <v>2.0</v>
      </c>
      <c r="W74" s="25">
        <v>8500.0</v>
      </c>
      <c r="X74" s="25">
        <f t="shared" si="46"/>
        <v>17000</v>
      </c>
      <c r="Y74" s="17" t="s">
        <v>33</v>
      </c>
    </row>
    <row r="75">
      <c r="S75" s="15"/>
      <c r="T75" s="24">
        <v>8.0</v>
      </c>
      <c r="U75" s="17" t="s">
        <v>36</v>
      </c>
      <c r="V75" s="17">
        <v>1.0</v>
      </c>
      <c r="W75" s="25">
        <v>14000.0</v>
      </c>
      <c r="X75" s="25">
        <f t="shared" si="46"/>
        <v>14000</v>
      </c>
      <c r="Y75" s="26" t="s">
        <v>33</v>
      </c>
    </row>
    <row r="76">
      <c r="S76" s="15"/>
      <c r="T76" s="24">
        <v>9.0</v>
      </c>
      <c r="U76" s="17" t="s">
        <v>37</v>
      </c>
      <c r="V76" s="17">
        <v>3.0</v>
      </c>
      <c r="W76" s="25">
        <v>7000.0</v>
      </c>
      <c r="X76" s="25">
        <f t="shared" si="46"/>
        <v>21000</v>
      </c>
      <c r="Y76" s="17" t="s">
        <v>33</v>
      </c>
      <c r="AD76" s="1"/>
    </row>
    <row r="77">
      <c r="S77" s="15"/>
      <c r="T77" s="24">
        <v>10.0</v>
      </c>
      <c r="U77" s="17" t="s">
        <v>38</v>
      </c>
      <c r="V77" s="17">
        <v>2.0</v>
      </c>
      <c r="W77" s="25">
        <v>15500.0</v>
      </c>
      <c r="X77" s="25">
        <f t="shared" si="46"/>
        <v>31000</v>
      </c>
      <c r="Y77" s="17" t="s">
        <v>33</v>
      </c>
      <c r="AD77" s="1"/>
    </row>
    <row r="78">
      <c r="S78" s="15"/>
      <c r="T78" s="24">
        <v>11.0</v>
      </c>
      <c r="U78" s="17" t="s">
        <v>39</v>
      </c>
      <c r="V78" s="17">
        <v>4.0</v>
      </c>
      <c r="W78" s="25">
        <v>19000.0</v>
      </c>
      <c r="X78" s="25">
        <f t="shared" si="46"/>
        <v>76000</v>
      </c>
      <c r="Y78" s="17" t="s">
        <v>33</v>
      </c>
      <c r="AD78" s="1"/>
    </row>
    <row r="79">
      <c r="S79" s="15"/>
      <c r="T79" s="24">
        <v>12.0</v>
      </c>
      <c r="U79" s="17" t="s">
        <v>40</v>
      </c>
      <c r="V79" s="17">
        <v>1.0</v>
      </c>
      <c r="W79" s="25">
        <v>300.0</v>
      </c>
      <c r="X79" s="25">
        <f t="shared" si="46"/>
        <v>300</v>
      </c>
      <c r="Y79" s="17" t="s">
        <v>41</v>
      </c>
      <c r="AD79" s="1"/>
    </row>
    <row r="80">
      <c r="S80" s="15"/>
      <c r="T80" s="24">
        <v>13.0</v>
      </c>
      <c r="U80" s="17" t="s">
        <v>42</v>
      </c>
      <c r="V80" s="17">
        <v>1.0</v>
      </c>
      <c r="W80" s="25">
        <v>2000.0</v>
      </c>
      <c r="X80" s="25">
        <f t="shared" si="46"/>
        <v>2000</v>
      </c>
      <c r="Y80" s="17" t="s">
        <v>43</v>
      </c>
      <c r="AD80" s="1"/>
    </row>
    <row r="81">
      <c r="T81" s="24">
        <v>14.0</v>
      </c>
      <c r="U81" s="17" t="s">
        <v>44</v>
      </c>
      <c r="V81" s="17">
        <v>1.0</v>
      </c>
      <c r="W81" s="25">
        <v>2000.0</v>
      </c>
      <c r="X81" s="25">
        <f t="shared" si="46"/>
        <v>2000</v>
      </c>
      <c r="Y81" s="17" t="s">
        <v>45</v>
      </c>
      <c r="AD81" s="1"/>
    </row>
    <row r="82">
      <c r="T82" s="24">
        <v>15.0</v>
      </c>
      <c r="U82" s="17" t="s">
        <v>46</v>
      </c>
      <c r="V82" s="17">
        <v>1.0</v>
      </c>
      <c r="W82" s="25">
        <v>13500.0</v>
      </c>
      <c r="X82" s="25">
        <f t="shared" si="46"/>
        <v>13500</v>
      </c>
      <c r="Y82" s="17" t="s">
        <v>47</v>
      </c>
      <c r="AD82" s="1"/>
    </row>
    <row r="83">
      <c r="T83" s="24">
        <v>16.0</v>
      </c>
      <c r="U83" s="17" t="s">
        <v>48</v>
      </c>
      <c r="V83" s="17">
        <v>1.0</v>
      </c>
      <c r="W83" s="25">
        <v>3000.0</v>
      </c>
      <c r="X83" s="25">
        <f t="shared" si="46"/>
        <v>3000</v>
      </c>
      <c r="Y83" s="17"/>
      <c r="AD83" s="1"/>
    </row>
    <row r="84">
      <c r="T84" s="24">
        <v>17.0</v>
      </c>
      <c r="U84" s="17" t="s">
        <v>49</v>
      </c>
      <c r="V84" s="17">
        <v>30.0</v>
      </c>
      <c r="W84" s="25">
        <v>1200.0</v>
      </c>
      <c r="X84" s="25">
        <f t="shared" si="46"/>
        <v>36000</v>
      </c>
      <c r="Y84" s="17" t="s">
        <v>62</v>
      </c>
      <c r="AD84" s="1"/>
    </row>
    <row r="85">
      <c r="T85" s="24">
        <v>18.0</v>
      </c>
      <c r="U85" s="17" t="s">
        <v>51</v>
      </c>
      <c r="V85" s="17">
        <v>1.0</v>
      </c>
      <c r="W85" s="25">
        <v>70000.0</v>
      </c>
      <c r="X85" s="25">
        <f t="shared" si="46"/>
        <v>70000</v>
      </c>
      <c r="Y85" s="17"/>
    </row>
    <row r="86">
      <c r="T86" s="24">
        <v>19.0</v>
      </c>
      <c r="U86" s="17" t="s">
        <v>52</v>
      </c>
      <c r="V86" s="17">
        <v>3.0</v>
      </c>
      <c r="W86" s="25">
        <v>6000.0</v>
      </c>
      <c r="X86" s="25">
        <f t="shared" si="46"/>
        <v>18000</v>
      </c>
      <c r="Y86" s="17" t="s">
        <v>63</v>
      </c>
    </row>
    <row r="87">
      <c r="J87" s="46"/>
      <c r="T87" s="24">
        <v>20.0</v>
      </c>
      <c r="U87" s="17" t="s">
        <v>54</v>
      </c>
      <c r="V87" s="17">
        <v>1.0</v>
      </c>
      <c r="W87" s="25">
        <v>6000.0</v>
      </c>
      <c r="X87" s="25">
        <f t="shared" si="46"/>
        <v>6000</v>
      </c>
      <c r="Y87" s="17" t="s">
        <v>55</v>
      </c>
    </row>
    <row r="88">
      <c r="V88" s="24" t="s">
        <v>56</v>
      </c>
      <c r="W88" s="39">
        <f t="shared" ref="W88:X88" si="47">SUM(W69:W87)</f>
        <v>234000</v>
      </c>
      <c r="X88" s="39">
        <f t="shared" si="47"/>
        <v>491800</v>
      </c>
    </row>
    <row r="97">
      <c r="T97" s="5" t="s">
        <v>64</v>
      </c>
      <c r="U97" s="6"/>
      <c r="V97" s="6"/>
      <c r="W97" s="6"/>
      <c r="X97" s="6"/>
      <c r="Y97" s="7"/>
    </row>
    <row r="98">
      <c r="T98" s="12" t="s">
        <v>14</v>
      </c>
      <c r="U98" s="12" t="s">
        <v>15</v>
      </c>
      <c r="V98" s="12" t="s">
        <v>16</v>
      </c>
      <c r="W98" s="12" t="s">
        <v>17</v>
      </c>
      <c r="X98" s="12" t="s">
        <v>18</v>
      </c>
      <c r="Y98" s="12" t="s">
        <v>19</v>
      </c>
    </row>
    <row r="99">
      <c r="J99" s="46"/>
      <c r="T99" s="17">
        <v>1.0</v>
      </c>
      <c r="U99" s="17" t="s">
        <v>65</v>
      </c>
      <c r="V99" s="17">
        <v>3.0</v>
      </c>
      <c r="W99" s="25">
        <v>25000.0</v>
      </c>
      <c r="X99" s="25">
        <f t="shared" ref="X99:X102" si="48">V99*W99</f>
        <v>75000</v>
      </c>
      <c r="Y99" s="47"/>
    </row>
    <row r="100">
      <c r="T100" s="17">
        <v>2.0</v>
      </c>
      <c r="U100" s="17" t="s">
        <v>66</v>
      </c>
      <c r="V100" s="17">
        <v>1.0</v>
      </c>
      <c r="W100" s="25">
        <v>1400.0</v>
      </c>
      <c r="X100" s="25">
        <f t="shared" si="48"/>
        <v>1400</v>
      </c>
      <c r="Y100" s="47"/>
    </row>
    <row r="101">
      <c r="T101" s="17">
        <v>3.0</v>
      </c>
      <c r="U101" s="17" t="s">
        <v>67</v>
      </c>
      <c r="V101" s="17">
        <v>16.0</v>
      </c>
      <c r="W101" s="25">
        <v>12000.0</v>
      </c>
      <c r="X101" s="25">
        <f t="shared" si="48"/>
        <v>192000</v>
      </c>
      <c r="Y101" s="47"/>
    </row>
    <row r="102">
      <c r="T102" s="17">
        <v>4.0</v>
      </c>
      <c r="U102" s="17" t="s">
        <v>68</v>
      </c>
      <c r="V102" s="17">
        <v>1.0</v>
      </c>
      <c r="W102" s="25">
        <v>5000.0</v>
      </c>
      <c r="X102" s="25">
        <f t="shared" si="48"/>
        <v>5000</v>
      </c>
      <c r="Y102" s="47"/>
    </row>
    <row r="103">
      <c r="W103" s="24" t="s">
        <v>56</v>
      </c>
      <c r="X103" s="39">
        <f>SUM(X99:X101)</f>
        <v>268400</v>
      </c>
    </row>
    <row r="105">
      <c r="T105" s="1"/>
      <c r="U105" s="1"/>
      <c r="V105" s="1"/>
      <c r="W105" s="1"/>
      <c r="X105" s="1"/>
      <c r="Y105" s="1"/>
    </row>
    <row r="108">
      <c r="T108" s="5" t="s">
        <v>69</v>
      </c>
      <c r="U108" s="6"/>
      <c r="V108" s="6"/>
      <c r="W108" s="6"/>
      <c r="X108" s="6"/>
      <c r="Y108" s="7"/>
    </row>
    <row r="109">
      <c r="J109" s="46"/>
      <c r="T109" s="12" t="s">
        <v>14</v>
      </c>
      <c r="U109" s="12" t="s">
        <v>15</v>
      </c>
      <c r="V109" s="12" t="s">
        <v>16</v>
      </c>
      <c r="W109" s="12" t="s">
        <v>17</v>
      </c>
      <c r="X109" s="12" t="s">
        <v>18</v>
      </c>
      <c r="Y109" s="12" t="s">
        <v>19</v>
      </c>
    </row>
    <row r="110">
      <c r="T110" s="17">
        <v>1.0</v>
      </c>
      <c r="U110" s="17" t="s">
        <v>66</v>
      </c>
      <c r="V110" s="17">
        <v>1.0</v>
      </c>
      <c r="W110" s="25">
        <v>2000.0</v>
      </c>
      <c r="X110" s="25">
        <f t="shared" ref="X110:X113" si="49">V110*W110</f>
        <v>2000</v>
      </c>
      <c r="Y110" s="47"/>
    </row>
    <row r="111">
      <c r="T111" s="17">
        <v>2.0</v>
      </c>
      <c r="U111" s="17" t="s">
        <v>67</v>
      </c>
      <c r="V111" s="17">
        <v>4.0</v>
      </c>
      <c r="W111" s="25">
        <v>12000.0</v>
      </c>
      <c r="X111" s="25">
        <f t="shared" si="49"/>
        <v>48000</v>
      </c>
      <c r="Y111" s="47"/>
    </row>
    <row r="112">
      <c r="T112" s="17">
        <v>3.0</v>
      </c>
      <c r="U112" s="17" t="s">
        <v>70</v>
      </c>
      <c r="V112" s="17">
        <v>1.0</v>
      </c>
      <c r="W112" s="25">
        <v>3000.0</v>
      </c>
      <c r="X112" s="25">
        <f t="shared" si="49"/>
        <v>3000</v>
      </c>
      <c r="Y112" s="47"/>
    </row>
    <row r="113">
      <c r="T113" s="17">
        <v>4.0</v>
      </c>
      <c r="U113" s="17" t="s">
        <v>68</v>
      </c>
      <c r="V113" s="17">
        <v>1.0</v>
      </c>
      <c r="W113" s="25">
        <v>5000.0</v>
      </c>
      <c r="X113" s="25">
        <f t="shared" si="49"/>
        <v>5000</v>
      </c>
      <c r="Y113" s="47"/>
    </row>
    <row r="114">
      <c r="T114" s="1"/>
      <c r="U114" s="1"/>
      <c r="V114" s="1"/>
      <c r="W114" s="24" t="s">
        <v>56</v>
      </c>
      <c r="X114" s="39">
        <f>SUM(X110:X113)</f>
        <v>58000</v>
      </c>
      <c r="Y114" s="1"/>
    </row>
    <row r="115">
      <c r="AA115" s="1"/>
    </row>
    <row r="117">
      <c r="T117" s="1"/>
      <c r="U117" s="1"/>
      <c r="V117" s="1"/>
      <c r="W117" s="1"/>
      <c r="X117" s="1"/>
      <c r="Y117" s="1"/>
    </row>
    <row r="119">
      <c r="T119" s="5" t="s">
        <v>71</v>
      </c>
      <c r="U119" s="6"/>
      <c r="V119" s="6"/>
      <c r="W119" s="6"/>
      <c r="X119" s="6"/>
      <c r="Y119" s="7"/>
    </row>
    <row r="120">
      <c r="T120" s="12" t="s">
        <v>14</v>
      </c>
      <c r="U120" s="12" t="s">
        <v>15</v>
      </c>
      <c r="V120" s="12" t="s">
        <v>16</v>
      </c>
      <c r="W120" s="12" t="s">
        <v>17</v>
      </c>
      <c r="X120" s="12" t="s">
        <v>18</v>
      </c>
      <c r="Y120" s="12" t="s">
        <v>19</v>
      </c>
    </row>
    <row r="121">
      <c r="T121" s="17">
        <v>1.0</v>
      </c>
      <c r="U121" s="17" t="s">
        <v>65</v>
      </c>
      <c r="V121" s="17">
        <v>1.0</v>
      </c>
      <c r="W121" s="25">
        <v>25000.0</v>
      </c>
      <c r="X121" s="25">
        <f t="shared" ref="X121:X124" si="50">V121*W121</f>
        <v>25000</v>
      </c>
      <c r="Y121" s="47"/>
    </row>
    <row r="122">
      <c r="T122" s="17">
        <v>2.0</v>
      </c>
      <c r="U122" s="17" t="s">
        <v>67</v>
      </c>
      <c r="V122" s="17">
        <v>1.0</v>
      </c>
      <c r="W122" s="25">
        <v>12000.0</v>
      </c>
      <c r="X122" s="25">
        <f t="shared" si="50"/>
        <v>12000</v>
      </c>
      <c r="Y122" s="47"/>
    </row>
    <row r="123">
      <c r="T123" s="17">
        <v>3.0</v>
      </c>
      <c r="U123" s="17" t="s">
        <v>72</v>
      </c>
      <c r="V123" s="17">
        <v>1.0</v>
      </c>
      <c r="W123" s="25">
        <v>200000.0</v>
      </c>
      <c r="X123" s="25">
        <f t="shared" si="50"/>
        <v>200000</v>
      </c>
      <c r="Y123" s="47"/>
      <c r="Z123" s="1"/>
    </row>
    <row r="124">
      <c r="T124" s="17">
        <v>4.0</v>
      </c>
      <c r="U124" s="17" t="s">
        <v>68</v>
      </c>
      <c r="V124" s="17">
        <v>1.0</v>
      </c>
      <c r="W124" s="25">
        <v>7000.0</v>
      </c>
      <c r="X124" s="25">
        <f t="shared" si="50"/>
        <v>7000</v>
      </c>
      <c r="Y124" s="47"/>
      <c r="Z124" s="48"/>
    </row>
    <row r="125">
      <c r="T125" s="1"/>
      <c r="U125" s="1"/>
      <c r="V125" s="1"/>
      <c r="W125" s="24" t="s">
        <v>56</v>
      </c>
      <c r="X125" s="39">
        <f>SUM(X121:X124)</f>
        <v>244000</v>
      </c>
      <c r="Y125" s="1"/>
      <c r="Z125" s="1"/>
    </row>
    <row r="126">
      <c r="Z126" s="1"/>
    </row>
    <row r="127">
      <c r="T127" s="1"/>
      <c r="U127" s="1"/>
      <c r="V127" s="1"/>
      <c r="W127" s="1"/>
      <c r="X127" s="1"/>
      <c r="Y127" s="1"/>
      <c r="Z127" s="1"/>
    </row>
    <row r="128">
      <c r="T128" s="4"/>
      <c r="Z128" s="1"/>
    </row>
    <row r="129">
      <c r="T129" s="49"/>
      <c r="U129" s="49"/>
      <c r="V129" s="49"/>
      <c r="W129" s="49"/>
      <c r="X129" s="49"/>
      <c r="Y129" s="49"/>
      <c r="Z129" s="1"/>
    </row>
    <row r="130">
      <c r="T130" s="15"/>
      <c r="U130" s="15"/>
      <c r="V130" s="15"/>
      <c r="W130" s="15"/>
      <c r="X130" s="15"/>
      <c r="Y130" s="50"/>
      <c r="Z130" s="1"/>
    </row>
    <row r="131">
      <c r="T131" s="15"/>
      <c r="U131" s="15"/>
      <c r="V131" s="15"/>
      <c r="W131" s="15"/>
      <c r="X131" s="15"/>
      <c r="Y131" s="50"/>
      <c r="Z131" s="1"/>
    </row>
    <row r="132">
      <c r="T132" s="15"/>
      <c r="U132" s="15"/>
      <c r="V132" s="15"/>
      <c r="W132" s="15"/>
      <c r="X132" s="15"/>
      <c r="Y132" s="50"/>
      <c r="Z132" s="1"/>
    </row>
    <row r="133">
      <c r="T133" s="15"/>
      <c r="U133" s="15"/>
      <c r="V133" s="15"/>
      <c r="W133" s="15"/>
      <c r="X133" s="15"/>
      <c r="Y133" s="50"/>
      <c r="Z133" s="1"/>
    </row>
    <row r="134">
      <c r="S134" s="51" t="s">
        <v>73</v>
      </c>
      <c r="T134" s="6"/>
      <c r="U134" s="6"/>
      <c r="V134" s="6"/>
      <c r="W134" s="6"/>
      <c r="X134" s="6"/>
      <c r="Y134" s="7"/>
      <c r="Z134" s="1"/>
    </row>
    <row r="135">
      <c r="S135" s="52" t="s">
        <v>74</v>
      </c>
      <c r="T135" s="52" t="s">
        <v>75</v>
      </c>
      <c r="U135" s="52" t="s">
        <v>76</v>
      </c>
      <c r="V135" s="52" t="s">
        <v>77</v>
      </c>
      <c r="W135" s="52" t="s">
        <v>78</v>
      </c>
      <c r="X135" s="52" t="s">
        <v>79</v>
      </c>
      <c r="Y135" s="52" t="s">
        <v>80</v>
      </c>
      <c r="Z135" s="1"/>
    </row>
    <row r="136">
      <c r="S136" s="16">
        <v>1.0</v>
      </c>
      <c r="T136" s="16">
        <v>1.0</v>
      </c>
      <c r="U136" s="53">
        <f t="shared" ref="U136:U171" si="51">P10</f>
        <v>330000</v>
      </c>
      <c r="V136" s="53">
        <f t="shared" ref="V136:V147" si="52">$X$34</f>
        <v>365100</v>
      </c>
      <c r="W136" s="53">
        <f>$X$103</f>
        <v>268400</v>
      </c>
      <c r="X136" s="54">
        <f t="shared" ref="X136:X171" si="53">U136 - V136 - W136</f>
        <v>-303500</v>
      </c>
      <c r="Y136" s="54">
        <f>X136</f>
        <v>-303500</v>
      </c>
      <c r="Z136" s="1"/>
    </row>
    <row r="137">
      <c r="S137" s="16">
        <v>2.0</v>
      </c>
      <c r="T137" s="16">
        <v>0.0</v>
      </c>
      <c r="U137" s="53">
        <f t="shared" si="51"/>
        <v>8000</v>
      </c>
      <c r="V137" s="53">
        <f t="shared" si="52"/>
        <v>365100</v>
      </c>
      <c r="W137" s="53">
        <v>0.0</v>
      </c>
      <c r="X137" s="54">
        <f t="shared" si="53"/>
        <v>-357100</v>
      </c>
      <c r="Y137" s="54">
        <f t="shared" ref="Y137:Y171" si="54">Y136+X137</f>
        <v>-660600</v>
      </c>
      <c r="Z137" s="1"/>
    </row>
    <row r="138">
      <c r="S138" s="16">
        <v>3.0</v>
      </c>
      <c r="T138" s="16">
        <v>2.0</v>
      </c>
      <c r="U138" s="53">
        <f t="shared" si="51"/>
        <v>668000</v>
      </c>
      <c r="V138" s="53">
        <f t="shared" si="52"/>
        <v>365100</v>
      </c>
      <c r="W138" s="53">
        <v>0.0</v>
      </c>
      <c r="X138" s="53">
        <f t="shared" si="53"/>
        <v>302900</v>
      </c>
      <c r="Y138" s="54">
        <f t="shared" si="54"/>
        <v>-357700</v>
      </c>
      <c r="Z138" s="1"/>
    </row>
    <row r="139">
      <c r="S139" s="16">
        <v>4.0</v>
      </c>
      <c r="T139" s="16">
        <v>0.0</v>
      </c>
      <c r="U139" s="53">
        <f t="shared" si="51"/>
        <v>24000</v>
      </c>
      <c r="V139" s="53">
        <f t="shared" si="52"/>
        <v>365100</v>
      </c>
      <c r="W139" s="53">
        <v>0.0</v>
      </c>
      <c r="X139" s="54">
        <f t="shared" si="53"/>
        <v>-341100</v>
      </c>
      <c r="Y139" s="54">
        <f t="shared" si="54"/>
        <v>-698800</v>
      </c>
      <c r="Z139" s="1"/>
    </row>
    <row r="140">
      <c r="S140" s="16">
        <v>5.0</v>
      </c>
      <c r="T140" s="16">
        <v>0.0</v>
      </c>
      <c r="U140" s="53">
        <f t="shared" si="51"/>
        <v>24000</v>
      </c>
      <c r="V140" s="53">
        <f t="shared" si="52"/>
        <v>365100</v>
      </c>
      <c r="W140" s="53">
        <v>0.0</v>
      </c>
      <c r="X140" s="54">
        <f t="shared" si="53"/>
        <v>-341100</v>
      </c>
      <c r="Y140" s="54">
        <f t="shared" si="54"/>
        <v>-1039900</v>
      </c>
      <c r="Z140" s="1"/>
    </row>
    <row r="141">
      <c r="S141" s="16">
        <v>6.0</v>
      </c>
      <c r="T141" s="16">
        <v>3.0</v>
      </c>
      <c r="U141" s="53">
        <f t="shared" si="51"/>
        <v>1014000</v>
      </c>
      <c r="V141" s="53">
        <f t="shared" si="52"/>
        <v>365100</v>
      </c>
      <c r="W141" s="53">
        <v>0.0</v>
      </c>
      <c r="X141" s="53">
        <f t="shared" si="53"/>
        <v>648900</v>
      </c>
      <c r="Y141" s="54">
        <f t="shared" si="54"/>
        <v>-391000</v>
      </c>
      <c r="Z141" s="1"/>
    </row>
    <row r="142">
      <c r="S142" s="16">
        <v>7.0</v>
      </c>
      <c r="T142" s="16">
        <v>0.0</v>
      </c>
      <c r="U142" s="53">
        <f t="shared" si="51"/>
        <v>48000</v>
      </c>
      <c r="V142" s="53">
        <f t="shared" si="52"/>
        <v>365100</v>
      </c>
      <c r="W142" s="53">
        <v>0.0</v>
      </c>
      <c r="X142" s="54">
        <f t="shared" si="53"/>
        <v>-317100</v>
      </c>
      <c r="Y142" s="54">
        <f t="shared" si="54"/>
        <v>-708100</v>
      </c>
      <c r="Z142" s="1"/>
    </row>
    <row r="143">
      <c r="S143" s="16">
        <v>8.0</v>
      </c>
      <c r="T143" s="16">
        <v>0.0</v>
      </c>
      <c r="U143" s="53">
        <f t="shared" si="51"/>
        <v>48000</v>
      </c>
      <c r="V143" s="53">
        <f t="shared" si="52"/>
        <v>365100</v>
      </c>
      <c r="W143" s="53">
        <v>0.0</v>
      </c>
      <c r="X143" s="54">
        <f t="shared" si="53"/>
        <v>-317100</v>
      </c>
      <c r="Y143" s="54">
        <f t="shared" si="54"/>
        <v>-1025200</v>
      </c>
      <c r="Z143" s="1"/>
    </row>
    <row r="144">
      <c r="S144" s="16">
        <v>9.0</v>
      </c>
      <c r="T144" s="16">
        <v>2.0</v>
      </c>
      <c r="U144" s="53">
        <f t="shared" si="51"/>
        <v>708000</v>
      </c>
      <c r="V144" s="53">
        <f t="shared" si="52"/>
        <v>365100</v>
      </c>
      <c r="W144" s="53">
        <v>0.0</v>
      </c>
      <c r="X144" s="53">
        <f t="shared" si="53"/>
        <v>342900</v>
      </c>
      <c r="Y144" s="54">
        <f t="shared" si="54"/>
        <v>-682300</v>
      </c>
      <c r="Z144" s="1"/>
    </row>
    <row r="145">
      <c r="S145" s="16">
        <v>10.0</v>
      </c>
      <c r="T145" s="16">
        <v>0.0</v>
      </c>
      <c r="U145" s="53">
        <f t="shared" si="51"/>
        <v>64000</v>
      </c>
      <c r="V145" s="53">
        <f t="shared" si="52"/>
        <v>365100</v>
      </c>
      <c r="W145" s="53">
        <v>0.0</v>
      </c>
      <c r="X145" s="54">
        <f t="shared" si="53"/>
        <v>-301100</v>
      </c>
      <c r="Y145" s="54">
        <f t="shared" si="54"/>
        <v>-983400</v>
      </c>
      <c r="Z145" s="1"/>
    </row>
    <row r="146">
      <c r="S146" s="16">
        <v>11.0</v>
      </c>
      <c r="T146" s="16">
        <v>0.0</v>
      </c>
      <c r="U146" s="53">
        <f t="shared" si="51"/>
        <v>64000</v>
      </c>
      <c r="V146" s="53">
        <f t="shared" si="52"/>
        <v>365100</v>
      </c>
      <c r="W146" s="53">
        <v>0.0</v>
      </c>
      <c r="X146" s="54">
        <f t="shared" si="53"/>
        <v>-301100</v>
      </c>
      <c r="Y146" s="54">
        <f t="shared" si="54"/>
        <v>-1284500</v>
      </c>
      <c r="Z146" s="1"/>
    </row>
    <row r="147">
      <c r="S147" s="16">
        <v>12.0</v>
      </c>
      <c r="T147" s="16">
        <v>5.0</v>
      </c>
      <c r="U147" s="53">
        <f t="shared" si="51"/>
        <v>1714000</v>
      </c>
      <c r="V147" s="53">
        <f t="shared" si="52"/>
        <v>365100</v>
      </c>
      <c r="W147" s="53">
        <v>0.0</v>
      </c>
      <c r="X147" s="53">
        <f t="shared" si="53"/>
        <v>1348900</v>
      </c>
      <c r="Y147" s="53">
        <f t="shared" si="54"/>
        <v>64400</v>
      </c>
      <c r="Z147" s="1"/>
    </row>
    <row r="148">
      <c r="S148" s="55">
        <v>13.0</v>
      </c>
      <c r="T148" s="55">
        <v>1.0</v>
      </c>
      <c r="U148" s="56">
        <f t="shared" si="51"/>
        <v>434000</v>
      </c>
      <c r="V148" s="57">
        <f t="shared" ref="V148:V159" si="55">$X$61</f>
        <v>370520</v>
      </c>
      <c r="W148" s="57">
        <f>X114</f>
        <v>58000</v>
      </c>
      <c r="X148" s="58">
        <f t="shared" si="53"/>
        <v>5480</v>
      </c>
      <c r="Y148" s="59">
        <f t="shared" si="54"/>
        <v>69880</v>
      </c>
      <c r="Z148" s="1"/>
    </row>
    <row r="149">
      <c r="S149" s="55">
        <v>14.0</v>
      </c>
      <c r="T149" s="55">
        <v>2.0</v>
      </c>
      <c r="U149" s="56">
        <f t="shared" si="51"/>
        <v>772000</v>
      </c>
      <c r="V149" s="57">
        <f t="shared" si="55"/>
        <v>370520</v>
      </c>
      <c r="W149" s="57">
        <v>0.0</v>
      </c>
      <c r="X149" s="58">
        <f t="shared" si="53"/>
        <v>401480</v>
      </c>
      <c r="Y149" s="59">
        <f t="shared" si="54"/>
        <v>471360</v>
      </c>
      <c r="Z149" s="1"/>
    </row>
    <row r="150">
      <c r="S150" s="55">
        <v>15.0</v>
      </c>
      <c r="T150" s="55">
        <v>0.0</v>
      </c>
      <c r="U150" s="56">
        <f t="shared" si="51"/>
        <v>128000</v>
      </c>
      <c r="V150" s="57">
        <f t="shared" si="55"/>
        <v>370520</v>
      </c>
      <c r="W150" s="57">
        <v>0.0</v>
      </c>
      <c r="X150" s="60">
        <f t="shared" si="53"/>
        <v>-242520</v>
      </c>
      <c r="Y150" s="59">
        <f t="shared" si="54"/>
        <v>228840</v>
      </c>
      <c r="Z150" s="1"/>
    </row>
    <row r="151">
      <c r="S151" s="55">
        <v>16.0</v>
      </c>
      <c r="T151" s="55">
        <v>0.0</v>
      </c>
      <c r="U151" s="56">
        <f t="shared" si="51"/>
        <v>128000</v>
      </c>
      <c r="V151" s="57">
        <f t="shared" si="55"/>
        <v>370520</v>
      </c>
      <c r="W151" s="57">
        <v>0.0</v>
      </c>
      <c r="X151" s="60">
        <f t="shared" si="53"/>
        <v>-242520</v>
      </c>
      <c r="Y151" s="61">
        <f t="shared" si="54"/>
        <v>-13680</v>
      </c>
      <c r="Z151" s="1"/>
    </row>
    <row r="152">
      <c r="S152" s="55">
        <v>17.0</v>
      </c>
      <c r="T152" s="55">
        <v>3.0</v>
      </c>
      <c r="U152" s="56">
        <f t="shared" si="51"/>
        <v>1118000</v>
      </c>
      <c r="V152" s="57">
        <f t="shared" si="55"/>
        <v>370520</v>
      </c>
      <c r="W152" s="57">
        <v>0.0</v>
      </c>
      <c r="X152" s="58">
        <f t="shared" si="53"/>
        <v>747480</v>
      </c>
      <c r="Y152" s="59">
        <f t="shared" si="54"/>
        <v>733800</v>
      </c>
      <c r="Z152" s="1"/>
    </row>
    <row r="153">
      <c r="S153" s="55">
        <v>18.0</v>
      </c>
      <c r="T153" s="55">
        <v>2.0</v>
      </c>
      <c r="U153" s="56">
        <f t="shared" si="51"/>
        <v>812000</v>
      </c>
      <c r="V153" s="57">
        <f t="shared" si="55"/>
        <v>370520</v>
      </c>
      <c r="W153" s="57">
        <v>0.0</v>
      </c>
      <c r="X153" s="58">
        <f t="shared" si="53"/>
        <v>441480</v>
      </c>
      <c r="Y153" s="59">
        <f t="shared" si="54"/>
        <v>1175280</v>
      </c>
      <c r="Z153" s="1"/>
    </row>
    <row r="154">
      <c r="S154" s="55">
        <v>19.0</v>
      </c>
      <c r="T154" s="55">
        <v>5.0</v>
      </c>
      <c r="U154" s="56">
        <f t="shared" si="51"/>
        <v>1818000</v>
      </c>
      <c r="V154" s="57">
        <f t="shared" si="55"/>
        <v>370520</v>
      </c>
      <c r="W154" s="57">
        <v>0.0</v>
      </c>
      <c r="X154" s="58">
        <f t="shared" si="53"/>
        <v>1447480</v>
      </c>
      <c r="Y154" s="59">
        <f t="shared" si="54"/>
        <v>2622760</v>
      </c>
      <c r="Z154" s="1"/>
    </row>
    <row r="155">
      <c r="S155" s="55">
        <v>20.0</v>
      </c>
      <c r="T155" s="55">
        <v>0.0</v>
      </c>
      <c r="U155" s="56">
        <f t="shared" si="51"/>
        <v>208000</v>
      </c>
      <c r="V155" s="57">
        <f t="shared" si="55"/>
        <v>370520</v>
      </c>
      <c r="W155" s="57">
        <v>0.0</v>
      </c>
      <c r="X155" s="60">
        <f t="shared" si="53"/>
        <v>-162520</v>
      </c>
      <c r="Y155" s="59">
        <f t="shared" si="54"/>
        <v>2460240</v>
      </c>
      <c r="Z155" s="1"/>
    </row>
    <row r="156">
      <c r="S156" s="55">
        <v>21.0</v>
      </c>
      <c r="T156" s="55">
        <v>0.0</v>
      </c>
      <c r="U156" s="56">
        <f t="shared" si="51"/>
        <v>208000</v>
      </c>
      <c r="V156" s="57">
        <f t="shared" si="55"/>
        <v>370520</v>
      </c>
      <c r="W156" s="57">
        <v>0.0</v>
      </c>
      <c r="X156" s="60">
        <f t="shared" si="53"/>
        <v>-162520</v>
      </c>
      <c r="Y156" s="59">
        <f t="shared" si="54"/>
        <v>2297720</v>
      </c>
      <c r="Z156" s="1"/>
    </row>
    <row r="157">
      <c r="S157" s="55">
        <v>22.0</v>
      </c>
      <c r="T157" s="55">
        <v>1.0</v>
      </c>
      <c r="U157" s="56">
        <f t="shared" si="51"/>
        <v>538000</v>
      </c>
      <c r="V157" s="57">
        <f t="shared" si="55"/>
        <v>370520</v>
      </c>
      <c r="W157" s="57">
        <v>0.0</v>
      </c>
      <c r="X157" s="58">
        <f t="shared" si="53"/>
        <v>167480</v>
      </c>
      <c r="Y157" s="59">
        <f t="shared" si="54"/>
        <v>2465200</v>
      </c>
      <c r="Z157" s="1"/>
    </row>
    <row r="158">
      <c r="S158" s="55">
        <v>23.0</v>
      </c>
      <c r="T158" s="55">
        <v>1.0</v>
      </c>
      <c r="U158" s="56">
        <f t="shared" si="51"/>
        <v>546000</v>
      </c>
      <c r="V158" s="57">
        <f t="shared" si="55"/>
        <v>370520</v>
      </c>
      <c r="W158" s="57">
        <v>0.0</v>
      </c>
      <c r="X158" s="58">
        <f t="shared" si="53"/>
        <v>175480</v>
      </c>
      <c r="Y158" s="59">
        <f t="shared" si="54"/>
        <v>2640680</v>
      </c>
      <c r="Z158" s="1"/>
    </row>
    <row r="159">
      <c r="S159" s="55">
        <v>24.0</v>
      </c>
      <c r="T159" s="55">
        <v>6.0</v>
      </c>
      <c r="U159" s="56">
        <f t="shared" si="51"/>
        <v>2204000</v>
      </c>
      <c r="V159" s="57">
        <f t="shared" si="55"/>
        <v>370520</v>
      </c>
      <c r="W159" s="57">
        <v>0.0</v>
      </c>
      <c r="X159" s="58">
        <f t="shared" si="53"/>
        <v>1833480</v>
      </c>
      <c r="Y159" s="59">
        <f t="shared" si="54"/>
        <v>4474160</v>
      </c>
      <c r="Z159" s="1"/>
    </row>
    <row r="160">
      <c r="S160" s="62">
        <v>25.0</v>
      </c>
      <c r="T160" s="62">
        <v>5.0</v>
      </c>
      <c r="U160" s="63">
        <f t="shared" si="51"/>
        <v>1922000</v>
      </c>
      <c r="V160" s="64">
        <f t="shared" ref="V160:V171" si="56">$X$88</f>
        <v>491800</v>
      </c>
      <c r="W160" s="64">
        <f>X125</f>
        <v>244000</v>
      </c>
      <c r="X160" s="65">
        <f t="shared" si="53"/>
        <v>1186200</v>
      </c>
      <c r="Y160" s="66">
        <f t="shared" si="54"/>
        <v>5660360</v>
      </c>
      <c r="Z160" s="1"/>
    </row>
    <row r="161">
      <c r="S161" s="62">
        <v>26.0</v>
      </c>
      <c r="T161" s="62">
        <v>4.0</v>
      </c>
      <c r="U161" s="63">
        <f t="shared" si="51"/>
        <v>1632000</v>
      </c>
      <c r="V161" s="64">
        <f t="shared" si="56"/>
        <v>491800</v>
      </c>
      <c r="W161" s="64">
        <v>0.0</v>
      </c>
      <c r="X161" s="65">
        <f t="shared" si="53"/>
        <v>1140200</v>
      </c>
      <c r="Y161" s="66">
        <f t="shared" si="54"/>
        <v>6800560</v>
      </c>
      <c r="Z161" s="67"/>
    </row>
    <row r="162">
      <c r="S162" s="62">
        <v>27.0</v>
      </c>
      <c r="T162" s="62">
        <v>2.0</v>
      </c>
      <c r="U162" s="63">
        <f t="shared" si="51"/>
        <v>1004000</v>
      </c>
      <c r="V162" s="64">
        <f t="shared" si="56"/>
        <v>491800</v>
      </c>
      <c r="W162" s="64">
        <v>0.0</v>
      </c>
      <c r="X162" s="65">
        <f t="shared" si="53"/>
        <v>512200</v>
      </c>
      <c r="Y162" s="66">
        <f t="shared" si="54"/>
        <v>7312760</v>
      </c>
      <c r="Z162" s="1"/>
    </row>
    <row r="163">
      <c r="S163" s="62">
        <v>28.0</v>
      </c>
      <c r="T163" s="62">
        <v>1.0</v>
      </c>
      <c r="U163" s="63">
        <f t="shared" si="51"/>
        <v>690000</v>
      </c>
      <c r="V163" s="64">
        <f t="shared" si="56"/>
        <v>491800</v>
      </c>
      <c r="W163" s="64">
        <v>0.0</v>
      </c>
      <c r="X163" s="65">
        <f t="shared" si="53"/>
        <v>198200</v>
      </c>
      <c r="Y163" s="66">
        <f t="shared" si="54"/>
        <v>7510960</v>
      </c>
    </row>
    <row r="164">
      <c r="S164" s="62">
        <v>29.0</v>
      </c>
      <c r="T164" s="62">
        <v>1.0</v>
      </c>
      <c r="U164" s="63">
        <f t="shared" si="51"/>
        <v>698000</v>
      </c>
      <c r="V164" s="64">
        <f t="shared" si="56"/>
        <v>491800</v>
      </c>
      <c r="W164" s="64">
        <v>0.0</v>
      </c>
      <c r="X164" s="65">
        <f t="shared" si="53"/>
        <v>206200</v>
      </c>
      <c r="Y164" s="66">
        <f t="shared" si="54"/>
        <v>7717160</v>
      </c>
    </row>
    <row r="165">
      <c r="S165" s="62">
        <v>30.0</v>
      </c>
      <c r="T165" s="62">
        <v>6.0</v>
      </c>
      <c r="U165" s="63">
        <f t="shared" si="51"/>
        <v>2356000</v>
      </c>
      <c r="V165" s="64">
        <f t="shared" si="56"/>
        <v>491800</v>
      </c>
      <c r="W165" s="64">
        <v>0.0</v>
      </c>
      <c r="X165" s="65">
        <f t="shared" si="53"/>
        <v>1864200</v>
      </c>
      <c r="Y165" s="66">
        <f t="shared" si="54"/>
        <v>9581360</v>
      </c>
    </row>
    <row r="166">
      <c r="S166" s="62">
        <v>31.0</v>
      </c>
      <c r="T166" s="62">
        <v>3.0</v>
      </c>
      <c r="U166" s="63">
        <f t="shared" si="51"/>
        <v>1414000</v>
      </c>
      <c r="V166" s="64">
        <f t="shared" si="56"/>
        <v>491800</v>
      </c>
      <c r="W166" s="64">
        <v>0.0</v>
      </c>
      <c r="X166" s="65">
        <f t="shared" si="53"/>
        <v>922200</v>
      </c>
      <c r="Y166" s="66">
        <f t="shared" si="54"/>
        <v>10503560</v>
      </c>
    </row>
    <row r="167">
      <c r="S167" s="62">
        <v>32.0</v>
      </c>
      <c r="T167" s="62">
        <v>2.0</v>
      </c>
      <c r="U167" s="63">
        <f t="shared" si="51"/>
        <v>1108000</v>
      </c>
      <c r="V167" s="64">
        <f t="shared" si="56"/>
        <v>491800</v>
      </c>
      <c r="W167" s="64">
        <v>0.0</v>
      </c>
      <c r="X167" s="65">
        <f t="shared" si="53"/>
        <v>616200</v>
      </c>
      <c r="Y167" s="66">
        <f t="shared" si="54"/>
        <v>11119760</v>
      </c>
    </row>
    <row r="168">
      <c r="S168" s="62">
        <v>33.0</v>
      </c>
      <c r="T168" s="62">
        <v>1.0</v>
      </c>
      <c r="U168" s="63">
        <f t="shared" si="51"/>
        <v>794000</v>
      </c>
      <c r="V168" s="64">
        <f t="shared" si="56"/>
        <v>491800</v>
      </c>
      <c r="W168" s="64">
        <v>0.0</v>
      </c>
      <c r="X168" s="65">
        <f t="shared" si="53"/>
        <v>302200</v>
      </c>
      <c r="Y168" s="66">
        <f t="shared" si="54"/>
        <v>11421960</v>
      </c>
    </row>
    <row r="169">
      <c r="S169" s="62">
        <v>34.0</v>
      </c>
      <c r="T169" s="62">
        <v>3.0</v>
      </c>
      <c r="U169" s="63">
        <f t="shared" si="51"/>
        <v>1462000</v>
      </c>
      <c r="V169" s="64">
        <f t="shared" si="56"/>
        <v>491800</v>
      </c>
      <c r="W169" s="64">
        <v>0.0</v>
      </c>
      <c r="X169" s="65">
        <f t="shared" si="53"/>
        <v>970200</v>
      </c>
      <c r="Y169" s="66">
        <f t="shared" si="54"/>
        <v>12392160</v>
      </c>
    </row>
    <row r="170">
      <c r="S170" s="62">
        <v>35.0</v>
      </c>
      <c r="T170" s="62">
        <v>2.0</v>
      </c>
      <c r="U170" s="63">
        <f t="shared" si="51"/>
        <v>1156000</v>
      </c>
      <c r="V170" s="64">
        <f t="shared" si="56"/>
        <v>491800</v>
      </c>
      <c r="W170" s="64">
        <v>0.0</v>
      </c>
      <c r="X170" s="65">
        <f t="shared" si="53"/>
        <v>664200</v>
      </c>
      <c r="Y170" s="66">
        <f t="shared" si="54"/>
        <v>13056360</v>
      </c>
    </row>
    <row r="171">
      <c r="S171" s="62">
        <v>36.0</v>
      </c>
      <c r="T171" s="62">
        <v>3.0</v>
      </c>
      <c r="U171" s="63">
        <f t="shared" si="51"/>
        <v>1502000</v>
      </c>
      <c r="V171" s="64">
        <f t="shared" si="56"/>
        <v>491800</v>
      </c>
      <c r="W171" s="64">
        <v>0.0</v>
      </c>
      <c r="X171" s="65">
        <f t="shared" si="53"/>
        <v>1010200</v>
      </c>
      <c r="Y171" s="66">
        <f t="shared" si="54"/>
        <v>14066560</v>
      </c>
    </row>
    <row r="172">
      <c r="S172" s="24" t="s">
        <v>56</v>
      </c>
      <c r="T172" s="24">
        <f t="shared" ref="T172:W172" si="57">SUM(T136:T171)</f>
        <v>67</v>
      </c>
      <c r="U172" s="39">
        <f t="shared" si="57"/>
        <v>29366000</v>
      </c>
      <c r="V172" s="39">
        <f t="shared" si="57"/>
        <v>14729040</v>
      </c>
      <c r="W172" s="39">
        <f t="shared" si="57"/>
        <v>570400</v>
      </c>
      <c r="X172" s="24"/>
      <c r="Y172" s="24"/>
    </row>
    <row r="193">
      <c r="Z193" s="1"/>
      <c r="AA193" s="1"/>
      <c r="AB193" s="1"/>
      <c r="AC193" s="1"/>
    </row>
    <row r="209">
      <c r="AD209" s="1"/>
    </row>
    <row r="220">
      <c r="Y220" s="1"/>
    </row>
    <row r="221">
      <c r="Y221" s="1"/>
    </row>
    <row r="227">
      <c r="X227" s="4"/>
    </row>
    <row r="228">
      <c r="X228" s="49"/>
      <c r="Y228" s="49"/>
      <c r="Z228" s="49"/>
      <c r="AA228" s="49"/>
      <c r="AB228" s="49"/>
      <c r="AC228" s="49"/>
    </row>
    <row r="229">
      <c r="X229" s="40"/>
      <c r="Y229" s="15"/>
      <c r="Z229" s="15"/>
      <c r="AA229" s="15"/>
      <c r="AB229" s="15"/>
      <c r="AC229" s="15"/>
    </row>
    <row r="230">
      <c r="X230" s="40"/>
      <c r="Y230" s="15"/>
      <c r="Z230" s="15"/>
      <c r="AA230" s="15"/>
      <c r="AB230" s="15"/>
      <c r="AC230" s="50"/>
    </row>
    <row r="231">
      <c r="X231" s="40"/>
      <c r="Y231" s="15"/>
      <c r="Z231" s="15"/>
      <c r="AA231" s="15"/>
      <c r="AB231" s="15"/>
      <c r="AC231" s="15"/>
    </row>
    <row r="232">
      <c r="X232" s="40"/>
      <c r="Y232" s="15"/>
      <c r="Z232" s="15"/>
      <c r="AA232" s="15"/>
      <c r="AB232" s="15"/>
      <c r="AC232" s="15"/>
    </row>
    <row r="233">
      <c r="X233" s="40"/>
      <c r="Y233" s="15"/>
      <c r="Z233" s="15"/>
      <c r="AA233" s="15"/>
      <c r="AB233" s="15"/>
      <c r="AC233" s="15"/>
    </row>
    <row r="234">
      <c r="X234" s="40"/>
      <c r="Y234" s="15"/>
      <c r="Z234" s="15"/>
      <c r="AA234" s="15"/>
      <c r="AB234" s="15"/>
      <c r="AC234" s="15"/>
    </row>
    <row r="235">
      <c r="X235" s="40"/>
      <c r="Y235" s="15"/>
      <c r="Z235" s="15"/>
      <c r="AA235" s="15"/>
      <c r="AB235" s="15"/>
      <c r="AC235" s="15"/>
    </row>
    <row r="236">
      <c r="X236" s="40"/>
      <c r="Y236" s="15"/>
      <c r="Z236" s="15"/>
      <c r="AA236" s="15"/>
      <c r="AB236" s="15"/>
      <c r="AC236" s="50"/>
    </row>
    <row r="237">
      <c r="X237" s="40"/>
      <c r="Y237" s="15"/>
      <c r="Z237" s="15"/>
      <c r="AA237" s="15"/>
      <c r="AB237" s="15"/>
      <c r="AC237" s="15"/>
    </row>
    <row r="238">
      <c r="X238" s="50"/>
      <c r="Y238" s="1"/>
      <c r="Z238" s="40"/>
      <c r="AA238" s="40"/>
      <c r="AB238" s="40"/>
      <c r="AC238" s="1"/>
    </row>
    <row r="241">
      <c r="X241" s="4"/>
    </row>
    <row r="242">
      <c r="X242" s="49"/>
      <c r="Y242" s="49"/>
      <c r="Z242" s="49"/>
      <c r="AA242" s="49"/>
      <c r="AB242" s="49"/>
      <c r="AC242" s="49"/>
    </row>
    <row r="243">
      <c r="X243" s="40"/>
      <c r="Y243" s="15"/>
      <c r="Z243" s="15"/>
      <c r="AA243" s="15"/>
      <c r="AB243" s="15"/>
      <c r="AC243" s="15"/>
    </row>
    <row r="244">
      <c r="X244" s="40"/>
      <c r="Y244" s="15"/>
      <c r="Z244" s="15"/>
      <c r="AA244" s="15"/>
      <c r="AB244" s="15"/>
      <c r="AC244" s="50"/>
    </row>
    <row r="245">
      <c r="X245" s="40"/>
      <c r="Y245" s="15"/>
      <c r="Z245" s="15"/>
      <c r="AA245" s="15"/>
      <c r="AB245" s="15"/>
      <c r="AC245" s="15"/>
    </row>
    <row r="246">
      <c r="X246" s="40"/>
      <c r="Y246" s="15"/>
      <c r="Z246" s="15"/>
      <c r="AA246" s="15"/>
      <c r="AB246" s="15"/>
      <c r="AC246" s="15"/>
    </row>
    <row r="247">
      <c r="X247" s="40"/>
      <c r="Y247" s="15"/>
      <c r="Z247" s="15"/>
      <c r="AA247" s="15"/>
      <c r="AB247" s="15"/>
      <c r="AC247" s="15"/>
    </row>
    <row r="248">
      <c r="X248" s="40"/>
      <c r="Y248" s="15"/>
      <c r="Z248" s="15"/>
      <c r="AA248" s="15"/>
      <c r="AB248" s="15"/>
      <c r="AC248" s="15"/>
    </row>
    <row r="249">
      <c r="X249" s="40"/>
      <c r="Y249" s="15"/>
      <c r="Z249" s="15"/>
      <c r="AA249" s="15"/>
      <c r="AB249" s="15"/>
      <c r="AC249" s="15"/>
    </row>
    <row r="250">
      <c r="X250" s="40"/>
      <c r="Y250" s="15"/>
      <c r="Z250" s="15"/>
      <c r="AA250" s="15"/>
      <c r="AB250" s="15"/>
      <c r="AC250" s="50"/>
    </row>
    <row r="251">
      <c r="X251" s="40"/>
      <c r="Y251" s="15"/>
      <c r="Z251" s="15"/>
      <c r="AA251" s="15"/>
      <c r="AB251" s="15"/>
      <c r="AC251" s="15"/>
    </row>
    <row r="252">
      <c r="X252" s="50"/>
      <c r="Y252" s="1"/>
      <c r="Z252" s="40"/>
      <c r="AA252" s="40"/>
      <c r="AB252" s="40"/>
      <c r="AC252" s="1"/>
    </row>
  </sheetData>
  <mergeCells count="25">
    <mergeCell ref="G3:T3"/>
    <mergeCell ref="C8:G8"/>
    <mergeCell ref="J8:Q8"/>
    <mergeCell ref="C9:D9"/>
    <mergeCell ref="C10:D10"/>
    <mergeCell ref="C11:D11"/>
    <mergeCell ref="T12:Y12"/>
    <mergeCell ref="C12:D12"/>
    <mergeCell ref="C13:D13"/>
    <mergeCell ref="C18:G18"/>
    <mergeCell ref="C19:D19"/>
    <mergeCell ref="C20:D20"/>
    <mergeCell ref="C21:D21"/>
    <mergeCell ref="R22:S22"/>
    <mergeCell ref="T128:Y128"/>
    <mergeCell ref="S134:Y134"/>
    <mergeCell ref="X227:AC227"/>
    <mergeCell ref="X241:AC241"/>
    <mergeCell ref="C22:D22"/>
    <mergeCell ref="C23:D23"/>
    <mergeCell ref="T39:Y39"/>
    <mergeCell ref="T66:Y66"/>
    <mergeCell ref="T97:Y97"/>
    <mergeCell ref="T108:Y108"/>
    <mergeCell ref="T119:Y1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